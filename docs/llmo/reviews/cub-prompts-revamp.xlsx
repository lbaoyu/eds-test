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 Library" sheetId="1" state="visible" r:id="rId3"/>
    <sheet name="Summary" sheetId="2" state="visible" r:id="rId4"/>
    <sheet name="Validation" sheetId="3" state="visible" r:id="rId5"/>
  </sheets>
  <definedNames>
    <definedName function="false" hidden="true" localSheetId="0" name="_xlnm._FilterDatabase" vbProcedure="false">'Prompt Library'!$A$1:$I$201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<sst xmlns="http://schemas.openxmlformats.org/spreadsheetml/2006/main" count="1735" uniqueCount="322">
  <si>
    <t xml:space="preserve">#</t>
  </si>
  <si>
    <t xml:space="preserve">Category</t>
  </si>
  <si>
    <t xml:space="preserve">Topic</t>
  </si>
  <si>
    <t xml:space="preserve">Prompt</t>
  </si>
  <si>
    <t xml:space="preserve">Branded</t>
  </si>
  <si>
    <t xml:space="preserve">Market</t>
  </si>
  <si>
    <t xml:space="preserve">Job</t>
  </si>
  <si>
    <t xml:space="preserve">Journey stage</t>
  </si>
  <si>
    <t xml:space="preserve">Persona / segment</t>
  </si>
  <si>
    <t xml:space="preserve">信用卡</t>
  </si>
  <si>
    <r>
      <rPr>
        <sz val="11"/>
        <rFont val="Arial"/>
        <family val="0"/>
        <charset val="1"/>
      </rPr>
      <t xml:space="preserve">CUBE</t>
    </r>
    <r>
      <rPr>
        <sz val="11"/>
        <rFont val="Noto Sans CJK SC"/>
        <family val="2"/>
      </rPr>
      <t xml:space="preserve">卡回饋與權益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</si>
  <si>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卡的現金回饋最高可以到幾</t>
    </r>
    <r>
      <rPr>
        <sz val="11"/>
        <rFont val="Arial"/>
        <family val="0"/>
        <charset val="1"/>
      </rPr>
      <t xml:space="preserve">%</t>
    </r>
    <r>
      <rPr>
        <sz val="11"/>
        <rFont val="Noto Sans CJK SC"/>
        <family val="2"/>
      </rPr>
      <t xml:space="preserve">？</t>
    </r>
  </si>
  <si>
    <t xml:space="preserve">Yes</t>
  </si>
  <si>
    <t xml:space="preserve">Taiwan</t>
  </si>
  <si>
    <t xml:space="preserve">Representation</t>
  </si>
  <si>
    <t xml:space="preserve">Acquisition</t>
  </si>
  <si>
    <t xml:space="preserve">General</t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</si>
  <si>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卡的回饋是現金還是小樹點，兩者有什麼差別？</t>
    </r>
  </si>
  <si>
    <t xml:space="preserve">Content</t>
  </si>
  <si>
    <r>
      <rPr>
        <sz val="11"/>
        <rFont val="Noto Sans CJK SC"/>
        <family val="2"/>
      </rPr>
      <t xml:space="preserve">我常用行動支付，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卡綁定 </t>
    </r>
    <r>
      <rPr>
        <sz val="11"/>
        <rFont val="Arial"/>
        <family val="0"/>
        <charset val="1"/>
      </rPr>
      <t xml:space="preserve">Apple Pay </t>
    </r>
    <r>
      <rPr>
        <sz val="11"/>
        <rFont val="Noto Sans CJK SC"/>
        <family val="2"/>
      </rPr>
      <t xml:space="preserve">的回饋是多少？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</si>
  <si>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卡綁定 </t>
    </r>
    <r>
      <rPr>
        <sz val="11"/>
        <rFont val="Arial"/>
        <family val="0"/>
        <charset val="1"/>
      </rPr>
      <t xml:space="preserve">LINE Pay </t>
    </r>
    <r>
      <rPr>
        <sz val="11"/>
        <rFont val="Noto Sans CJK SC"/>
        <family val="2"/>
      </rPr>
      <t xml:space="preserve">消費有額外回饋嗎？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</si>
  <si>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卡的權益要怎麼切換？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</si>
  <si>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卡的新戶首刷禮目前有哪些優惠？</t>
    </r>
  </si>
  <si>
    <t xml:space="preserve">First-timer</t>
  </si>
  <si>
    <r>
      <rPr>
        <sz val="11"/>
        <rFont val="Noto Sans CJK SC"/>
        <family val="2"/>
      </rPr>
      <t xml:space="preserve">我生日當月用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卡消費會有額外回饋嗎？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</si>
  <si>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卡在便利商店消費的回饋是多少？</t>
    </r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</si>
  <si>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卡支付 </t>
    </r>
    <r>
      <rPr>
        <sz val="11"/>
        <rFont val="Arial"/>
        <family val="0"/>
        <charset val="1"/>
      </rPr>
      <t xml:space="preserve">Netflix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Spotify </t>
    </r>
    <r>
      <rPr>
        <sz val="11"/>
        <rFont val="Noto Sans CJK SC"/>
        <family val="2"/>
      </rPr>
      <t xml:space="preserve">等訂閱服務有回饋嗎？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</si>
  <si>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卡累積的小樹點可以兌換哪些東西？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</si>
  <si>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卡的小樹點和現金回饋哪一個比較划算？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</si>
  <si>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卡有哪些需要注意的回饋上限或排除條款？</t>
    </r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</si>
  <si>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卡買手搖飲料或餐飲有回饋嗎？</t>
    </r>
  </si>
  <si>
    <r>
      <rPr>
        <sz val="11"/>
        <rFont val="Noto Sans CJK SC"/>
        <family val="2"/>
      </rPr>
      <t xml:space="preserve">小資族第一次辦回饋信用卡，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卡適合嗎？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</si>
  <si>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卡在海外消費的回饋和國內消費一樣嗎？</t>
    </r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</si>
  <si>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卡綁定 </t>
    </r>
    <r>
      <rPr>
        <sz val="11"/>
        <rFont val="Arial"/>
        <family val="0"/>
        <charset val="1"/>
      </rPr>
      <t xml:space="preserve">Google Pay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Samsung Pay </t>
    </r>
    <r>
      <rPr>
        <sz val="11"/>
        <rFont val="Noto Sans CJK SC"/>
        <family val="2"/>
      </rPr>
      <t xml:space="preserve">的回饋如何？</t>
    </r>
  </si>
  <si>
    <r>
      <rPr>
        <sz val="11"/>
        <rFont val="Arial"/>
        <family val="0"/>
        <charset val="1"/>
      </rPr>
      <t xml:space="preserve">CUBE</t>
    </r>
    <r>
      <rPr>
        <sz val="11"/>
        <rFont val="Noto Sans CJK SC"/>
        <family val="2"/>
      </rPr>
      <t xml:space="preserve">卡比較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</si>
  <si>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卡和玉山 </t>
    </r>
    <r>
      <rPr>
        <sz val="11"/>
        <rFont val="Arial"/>
        <family val="0"/>
        <charset val="1"/>
      </rPr>
      <t xml:space="preserve">Unicard </t>
    </r>
    <r>
      <rPr>
        <sz val="11"/>
        <rFont val="Noto Sans CJK SC"/>
        <family val="2"/>
      </rPr>
      <t xml:space="preserve">哪一張比較適合行動支付族？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</si>
  <si>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卡和台新 </t>
    </r>
    <r>
      <rPr>
        <sz val="11"/>
        <rFont val="Arial"/>
        <family val="0"/>
        <charset val="1"/>
      </rPr>
      <t xml:space="preserve">Richart </t>
    </r>
    <r>
      <rPr>
        <sz val="11"/>
        <rFont val="Noto Sans CJK SC"/>
        <family val="2"/>
      </rPr>
      <t xml:space="preserve">卡的回饋怎麼比較？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</si>
  <si>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卡和富邦 </t>
    </r>
    <r>
      <rPr>
        <sz val="11"/>
        <rFont val="Arial"/>
        <family val="0"/>
        <charset val="1"/>
      </rPr>
      <t xml:space="preserve">J </t>
    </r>
    <r>
      <rPr>
        <sz val="11"/>
        <rFont val="Noto Sans CJK SC"/>
        <family val="2"/>
      </rPr>
      <t xml:space="preserve">卡哪一張回饋比較高？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</si>
  <si>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卡和星展 </t>
    </r>
    <r>
      <rPr>
        <sz val="11"/>
        <rFont val="Arial"/>
        <family val="0"/>
        <charset val="1"/>
      </rPr>
      <t xml:space="preserve">eco </t>
    </r>
    <r>
      <rPr>
        <sz val="11"/>
        <rFont val="Noto Sans CJK SC"/>
        <family val="2"/>
      </rPr>
      <t xml:space="preserve">卡哪一張比較適合？</t>
    </r>
  </si>
  <si>
    <r>
      <rPr>
        <sz val="11"/>
        <rFont val="Noto Sans CJK SC"/>
        <family val="2"/>
      </rPr>
      <t xml:space="preserve">數位消費族該辦國泰世華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卡還是永豐大戶卡？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</si>
  <si>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卡和台新 </t>
    </r>
    <r>
      <rPr>
        <sz val="11"/>
        <rFont val="Arial"/>
        <family val="0"/>
        <charset val="1"/>
      </rPr>
      <t xml:space="preserve">GOGO </t>
    </r>
    <r>
      <rPr>
        <sz val="11"/>
        <rFont val="Noto Sans CJK SC"/>
        <family val="2"/>
      </rPr>
      <t xml:space="preserve">卡哪一張行動支付回饋比較高？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</si>
  <si>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卡和中信 </t>
    </r>
    <r>
      <rPr>
        <sz val="11"/>
        <rFont val="Arial"/>
        <family val="0"/>
        <charset val="1"/>
      </rPr>
      <t xml:space="preserve">Uni </t>
    </r>
    <r>
      <rPr>
        <sz val="11"/>
        <rFont val="Noto Sans CJK SC"/>
        <family val="2"/>
      </rPr>
      <t xml:space="preserve">開聯名卡哪一張比較划算？</t>
    </r>
  </si>
  <si>
    <r>
      <rPr>
        <sz val="11"/>
        <rFont val="Noto Sans CJK SC"/>
        <family val="2"/>
      </rPr>
      <t xml:space="preserve">經常網購的人，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卡和其他現金回饋卡相比如何？</t>
    </r>
  </si>
  <si>
    <r>
      <rPr>
        <sz val="11"/>
        <rFont val="Noto Sans CJK SC"/>
        <family val="2"/>
      </rPr>
      <t xml:space="preserve">想累積哩程的人，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卡和航空聯名卡哪一個比較適合？</t>
    </r>
  </si>
  <si>
    <r>
      <rPr>
        <sz val="11"/>
        <rFont val="Noto Sans CJK SC"/>
        <family val="2"/>
      </rPr>
      <t xml:space="preserve">我每月固定有海外消費，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卡和其他外幣回饋卡怎麼選？</t>
    </r>
  </si>
  <si>
    <r>
      <rPr>
        <sz val="11"/>
        <rFont val="Noto Sans CJK SC"/>
        <family val="2"/>
      </rPr>
      <t xml:space="preserve">日韓旅遊要辦國泰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卡還是玉山熊本卡比較好？</t>
    </r>
  </si>
  <si>
    <r>
      <rPr>
        <sz val="11"/>
        <rFont val="Noto Sans CJK SC"/>
        <family val="2"/>
      </rPr>
      <t xml:space="preserve">第一次辦卡，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卡和其他新手卡相比有什麼優勢？</t>
    </r>
  </si>
  <si>
    <t xml:space="preserve">信用卡旅遊與哩程</t>
  </si>
  <si>
    <t xml:space="preserve">常出國的人適合哪一張國泰世華信用卡？</t>
  </si>
  <si>
    <t xml:space="preserve">Traveler</t>
  </si>
  <si>
    <t xml:space="preserve">國泰世華的亞洲萬里通聯名卡要怎麼累積哩程？</t>
  </si>
  <si>
    <t xml:space="preserve">國泰世華亞洲萬里通聯名卡的申請條件是什麼？</t>
  </si>
  <si>
    <t xml:space="preserve">想累積亞洲萬里通哩程，辦國泰世華哪一張卡最快？</t>
  </si>
  <si>
    <t xml:space="preserve">國泰長榮航空聯名卡的首刷禮有哪些？</t>
  </si>
  <si>
    <r>
      <rPr>
        <sz val="11"/>
        <rFont val="Noto Sans CJK SC"/>
        <family val="2"/>
      </rPr>
      <t xml:space="preserve">長榮航空國泰聯名卡在日本刷卡的回饋是幾</t>
    </r>
    <r>
      <rPr>
        <sz val="11"/>
        <rFont val="Arial"/>
        <family val="0"/>
        <charset val="1"/>
      </rPr>
      <t xml:space="preserve">%</t>
    </r>
    <r>
      <rPr>
        <sz val="11"/>
        <rFont val="Noto Sans CJK SC"/>
        <family val="2"/>
      </rPr>
      <t xml:space="preserve">？</t>
    </r>
  </si>
  <si>
    <t xml:space="preserve">國泰長榮航空聯名卡要怎麼申請？</t>
  </si>
  <si>
    <t xml:space="preserve">國泰長榮航空聯名卡的哩程要怎麼累積？</t>
  </si>
  <si>
    <t xml:space="preserve">國泰長榮航空聯名卡生日當月有什麼優惠？</t>
  </si>
  <si>
    <t xml:space="preserve">哪一張國泰世華信用卡出國旅遊的回饋比較好？</t>
  </si>
  <si>
    <t xml:space="preserve">去日本旅遊用哪一張高回饋信用卡比較適合？</t>
  </si>
  <si>
    <t xml:space="preserve">No</t>
  </si>
  <si>
    <t xml:space="preserve">Competitive</t>
  </si>
  <si>
    <t xml:space="preserve">透過旅行社刷卡，國泰世華哪一張卡有回饋？</t>
  </si>
  <si>
    <t xml:space="preserve">想累積航空哩程，哪一張信用卡最值得辦？</t>
  </si>
  <si>
    <t xml:space="preserve">搭高鐵想要有回饋，推薦哪一張信用卡？</t>
  </si>
  <si>
    <t xml:space="preserve">信用卡機場接送</t>
  </si>
  <si>
    <t xml:space="preserve">國泰世華信用卡的機場接送優惠要怎麼預約？</t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</si>
  <si>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卡有提供免費機場接送嗎？</t>
    </r>
  </si>
  <si>
    <t xml:space="preserve">哪些國泰世華信用卡享有機場貴賓室的權益？</t>
  </si>
  <si>
    <t xml:space="preserve">有提供免費機場停車的信用卡是哪幾張？</t>
  </si>
  <si>
    <t xml:space="preserve">國泰世界卡的機場接送一年可以使用幾次？</t>
  </si>
  <si>
    <t xml:space="preserve">常出國的人，哪一張信用卡的機場接送加貴賓室最划算？</t>
  </si>
  <si>
    <t xml:space="preserve">信用卡繳費與保費</t>
  </si>
  <si>
    <r>
      <rPr>
        <sz val="11"/>
        <rFont val="Noto Sans CJK SC"/>
        <family val="2"/>
      </rPr>
      <t xml:space="preserve">用國泰世華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卡繳所得稅有回饋或小樹點嗎？</t>
    </r>
  </si>
  <si>
    <t xml:space="preserve">用信用卡繳綜合所得稅有什麼好處？</t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</si>
  <si>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卡繳房屋稅可以累積小樹點嗎？</t>
    </r>
  </si>
  <si>
    <t xml:space="preserve">用國泰世華信用卡繳牌照稅有優惠嗎？</t>
  </si>
  <si>
    <t xml:space="preserve">國泰世華信用卡繳水電瓦斯費有回饋嗎？</t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</si>
  <si>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卡繳電信費有回饋嗎？</t>
    </r>
  </si>
  <si>
    <t xml:space="preserve">用信用卡繳保險費有什麼好處？</t>
  </si>
  <si>
    <t xml:space="preserve">用國泰世華信用卡繳產險保費有額外回饋嗎？</t>
  </si>
  <si>
    <r>
      <rPr>
        <sz val="11"/>
        <rFont val="Noto Sans CJK SC"/>
        <family val="2"/>
      </rPr>
      <t xml:space="preserve">用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卡繳車險保費的回饋是多少？</t>
    </r>
  </si>
  <si>
    <t xml:space="preserve">繳小孩的學費或補習費，哪一張信用卡有回饋？</t>
  </si>
  <si>
    <t xml:space="preserve">Family</t>
  </si>
  <si>
    <t xml:space="preserve">用長榮國泰極致無限卡繳所得稅有什麼優惠？</t>
  </si>
  <si>
    <t xml:space="preserve">用國泰世華信用卡分期繳稅還能享有回饋嗎？</t>
  </si>
  <si>
    <t xml:space="preserve">信用卡通路消費推薦</t>
  </si>
  <si>
    <r>
      <rPr>
        <sz val="11"/>
        <rFont val="Noto Sans CJK SC"/>
        <family val="2"/>
      </rPr>
      <t xml:space="preserve">我常在 </t>
    </r>
    <r>
      <rPr>
        <sz val="11"/>
        <rFont val="Arial"/>
        <family val="0"/>
        <charset val="1"/>
      </rPr>
      <t xml:space="preserve">momo</t>
    </r>
    <r>
      <rPr>
        <sz val="11"/>
        <rFont val="Noto Sans CJK SC"/>
        <family val="2"/>
      </rPr>
      <t xml:space="preserve">、蝦皮網購，哪一張信用卡回饋最高？</t>
    </r>
  </si>
  <si>
    <t xml:space="preserve">經常在百貨公司購物，刷哪一張信用卡比較划算？</t>
  </si>
  <si>
    <t xml:space="preserve">我每月有固定加油支出，哪一張信用卡加油回饋最高？</t>
  </si>
  <si>
    <r>
      <rPr>
        <sz val="11"/>
        <rFont val="Noto Sans CJK SC"/>
        <family val="2"/>
      </rPr>
      <t xml:space="preserve">常去全聯買菜，哪一張信用卡的 </t>
    </r>
    <r>
      <rPr>
        <sz val="11"/>
        <rFont val="Arial"/>
        <family val="0"/>
        <charset val="1"/>
      </rPr>
      <t xml:space="preserve">PXPay </t>
    </r>
    <r>
      <rPr>
        <sz val="11"/>
        <rFont val="Noto Sans CJK SC"/>
        <family val="2"/>
      </rPr>
      <t xml:space="preserve">回饋最高？</t>
    </r>
  </si>
  <si>
    <t xml:space="preserve">常用外送平台叫餐，哪一張信用卡回饋比較好？</t>
  </si>
  <si>
    <t xml:space="preserve">經常訂房或訂飯店，刷哪一張信用卡比較划算？</t>
  </si>
  <si>
    <t xml:space="preserve">我常看電影、買電影票，哪一張信用卡有優惠？</t>
  </si>
  <si>
    <t xml:space="preserve">停車費想要有回饋，哪一張信用卡比較適合？</t>
  </si>
  <si>
    <t xml:space="preserve">經常在超商消費，哪一張信用卡回饋最高？</t>
  </si>
  <si>
    <t xml:space="preserve">家裡有小嬰兒，買母嬰用品刷哪一張信用卡有回饋？</t>
  </si>
  <si>
    <t xml:space="preserve">晚上常聚餐吃大餐，哪一張信用卡的餐飲回饋或折扣最好？</t>
  </si>
  <si>
    <r>
      <rPr>
        <sz val="11"/>
        <rFont val="Noto Sans CJK SC"/>
        <family val="2"/>
      </rPr>
      <t xml:space="preserve">我主要用行動支付消費，國泰世華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卡的回饋如何？</t>
    </r>
  </si>
  <si>
    <r>
      <rPr>
        <sz val="11"/>
        <rFont val="Noto Sans CJK SC"/>
        <family val="2"/>
      </rPr>
      <t xml:space="preserve">常用 </t>
    </r>
    <r>
      <rPr>
        <sz val="11"/>
        <rFont val="Arial"/>
        <family val="0"/>
        <charset val="1"/>
      </rPr>
      <t xml:space="preserve">OpenPoint </t>
    </r>
    <r>
      <rPr>
        <sz val="11"/>
        <rFont val="Noto Sans CJK SC"/>
        <family val="2"/>
      </rPr>
      <t xml:space="preserve">的人，哪一張信用卡回饋最高？</t>
    </r>
  </si>
  <si>
    <t xml:space="preserve">國泰世華信用卡在數位通路（網購、行動支付）的整體回饋如何？</t>
  </si>
  <si>
    <r>
      <rPr>
        <sz val="11"/>
        <rFont val="Noto Sans CJK SC"/>
        <family val="2"/>
      </rPr>
      <t xml:space="preserve">我每月有固定的網購與外送支出，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卡適合我嗎？</t>
    </r>
  </si>
  <si>
    <r>
      <rPr>
        <sz val="11"/>
        <rFont val="Arial"/>
        <family val="0"/>
        <charset val="1"/>
      </rPr>
      <t xml:space="preserve">KTV </t>
    </r>
    <r>
      <rPr>
        <sz val="11"/>
        <rFont val="Noto Sans CJK SC"/>
        <family val="2"/>
      </rPr>
      <t xml:space="preserve">或娛樂消費想要高回饋，哪一張信用卡比較適合？</t>
    </r>
  </si>
  <si>
    <t xml:space="preserve">信用卡申辦與資格</t>
  </si>
  <si>
    <t xml:space="preserve">申請國泰世華信用卡大約需要多久才會核卡？</t>
  </si>
  <si>
    <t xml:space="preserve">第一次辦信用卡、還沒有信用紀錄，銀行會核准嗎？</t>
  </si>
  <si>
    <t xml:space="preserve">我是學生、還沒有薪水，可以申辦信用卡嗎？</t>
  </si>
  <si>
    <t xml:space="preserve">Student</t>
  </si>
  <si>
    <t xml:space="preserve">申請國泰世華信用卡需要準備哪些財力證明？</t>
  </si>
  <si>
    <t xml:space="preserve">要怎麼查詢我申請國泰世華信用卡的進度？</t>
  </si>
  <si>
    <t xml:space="preserve">國泰世界卡的申辦資格是什麼？</t>
  </si>
  <si>
    <t xml:space="preserve">我剛開始工作、存款不多，可以辦信用卡嗎？</t>
  </si>
  <si>
    <t xml:space="preserve">New-grad</t>
  </si>
  <si>
    <t xml:space="preserve">國泰世華信用卡的附卡也享有專屬優惠嗎？</t>
  </si>
  <si>
    <t xml:space="preserve">國泰世華有專門為學生設計的信用卡嗎？</t>
  </si>
  <si>
    <t xml:space="preserve">申請國泰世華信用卡的基本條件有哪些？</t>
  </si>
  <si>
    <t xml:space="preserve">新戶禮最好的國泰世華信用卡是哪一張？</t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</si>
  <si>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卡要怎麼線上申請？</t>
    </r>
  </si>
  <si>
    <t xml:space="preserve">卡別選擇與頂級卡</t>
  </si>
  <si>
    <t xml:space="preserve">我一年有較高的海外旅遊與餐飲消費，哪一張頂級信用卡比較適合？</t>
  </si>
  <si>
    <t xml:space="preserve">Affluent</t>
  </si>
  <si>
    <t xml:space="preserve">國泰世界卡值得申辦嗎，主要權益有哪些？</t>
  </si>
  <si>
    <t xml:space="preserve">什麼樣的人適合辦國泰世華的頂級卡？</t>
  </si>
  <si>
    <t xml:space="preserve">高消費族群該選國泰世界卡還是其他頂級卡？</t>
  </si>
  <si>
    <t xml:space="preserve">想要哩程回饋，國泰世華哪一張卡的首刷禮最划算？</t>
  </si>
  <si>
    <t xml:space="preserve">預算有限的小資族，國泰世華哪一張信用卡最適合？</t>
  </si>
  <si>
    <t xml:space="preserve">Budget</t>
  </si>
  <si>
    <t xml:space="preserve">第一次辦卡的人，國泰世華哪一張信用卡最好上手？</t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</si>
  <si>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Visa </t>
    </r>
    <r>
      <rPr>
        <sz val="11"/>
        <rFont val="Noto Sans CJK SC"/>
        <family val="2"/>
      </rPr>
      <t xml:space="preserve">等級的信用卡有哪些選擇？</t>
    </r>
  </si>
  <si>
    <r>
      <rPr>
        <sz val="11"/>
        <rFont val="Noto Sans CJK SC"/>
        <family val="2"/>
      </rPr>
      <t xml:space="preserve">想要分期 </t>
    </r>
    <r>
      <rPr>
        <sz val="11"/>
        <rFont val="Arial"/>
        <family val="0"/>
        <charset val="1"/>
      </rPr>
      <t xml:space="preserve">0 </t>
    </r>
    <r>
      <rPr>
        <sz val="11"/>
        <rFont val="Noto Sans CJK SC"/>
        <family val="2"/>
      </rPr>
      <t xml:space="preserve">利率，國泰世華哪一張卡有相關優惠？</t>
    </r>
  </si>
  <si>
    <t xml:space="preserve">經常出差的商務人士，國泰世華哪一張信用卡比較適合？</t>
  </si>
  <si>
    <t xml:space="preserve">Business</t>
  </si>
  <si>
    <t xml:space="preserve">國泰世華哪一張信用卡的整體回饋最高？</t>
  </si>
  <si>
    <t xml:space="preserve">想同時兼顧現金回饋與旅遊權益，國泰世華哪一張卡比較適合？</t>
  </si>
  <si>
    <t xml:space="preserve">信用卡額度與調整</t>
  </si>
  <si>
    <t xml:space="preserve">我的國泰世華信用卡額度是多少，可以調整嗎？</t>
  </si>
  <si>
    <t xml:space="preserve">Servicing</t>
  </si>
  <si>
    <t xml:space="preserve">申請臨時調高國泰世華信用卡額度要注意什麼？</t>
  </si>
  <si>
    <t xml:space="preserve">要怎麼申請永久調高國泰世華信用卡的額度？</t>
  </si>
  <si>
    <t xml:space="preserve">調高國泰世華信用卡額度需要提供哪些文件？</t>
  </si>
  <si>
    <t xml:space="preserve">國泰世華信用卡的臨時額度有效期間有多長？</t>
  </si>
  <si>
    <t xml:space="preserve">國泰世華信用卡額度調整大約多久會核准？</t>
  </si>
  <si>
    <t xml:space="preserve">信用卡掛失與補發</t>
  </si>
  <si>
    <t xml:space="preserve">國泰世華信用卡在國外遺失了該怎麼辦？</t>
  </si>
  <si>
    <t xml:space="preserve">國泰世華信用卡掛失後補發大約要多久？</t>
  </si>
  <si>
    <t xml:space="preserve">國泰世華信用卡的緊急替代卡可以使用多久？</t>
  </si>
  <si>
    <t xml:space="preserve">要怎麼避免國泰世華信用卡被盜刷？</t>
  </si>
  <si>
    <t xml:space="preserve">國泰世華信用卡被盜刷時該如何處理與申訴？</t>
  </si>
  <si>
    <t xml:space="preserve">國泰世華信用卡補發會收取手續費嗎？</t>
  </si>
  <si>
    <t xml:space="preserve">信用卡分期與帳單</t>
  </si>
  <si>
    <t xml:space="preserve">要怎麼查詢我的國泰世華信用卡帳單與帳務狀況？</t>
  </si>
  <si>
    <t xml:space="preserve">國泰世華信用卡帳單要怎麼申請分期？</t>
  </si>
  <si>
    <t xml:space="preserve">國泰世華信用卡帳單分期會影響回饋嗎？</t>
  </si>
  <si>
    <t xml:space="preserve">用國泰世華信用卡分期付款還能享有原本的回饋嗎？</t>
  </si>
  <si>
    <t xml:space="preserve">國泰世華信用卡預借現金需要多少手續費？</t>
  </si>
  <si>
    <t xml:space="preserve">國泰世華信用卡要怎麼申請預借現金？</t>
  </si>
  <si>
    <t xml:space="preserve">信用卡最低應繳金額和全額繳清有什麼差別？</t>
  </si>
  <si>
    <t xml:space="preserve">要怎麼設定國泰世華信用卡的自動扣繳？</t>
  </si>
  <si>
    <t xml:space="preserve">海外刷卡與手續費</t>
  </si>
  <si>
    <t xml:space="preserve">國泰世華信用卡在海外刷卡的手續費是多少？</t>
  </si>
  <si>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卡在國外消費會收取國外交易服務費嗎？</t>
    </r>
  </si>
  <si>
    <t xml:space="preserve">出國前需要先為國泰世華信用卡開通海外消費功能嗎？</t>
  </si>
  <si>
    <t xml:space="preserve">海外刷卡的帳單以當地幣別還是台幣結算比較划算？</t>
  </si>
  <si>
    <t xml:space="preserve">國泰世華信用卡在海外的緊急服務專線是什麼？</t>
  </si>
  <si>
    <t xml:space="preserve">用國泰世華信用卡，海外刷卡和國內消費的回饋不同嗎？</t>
  </si>
  <si>
    <r>
      <rPr>
        <sz val="11"/>
        <rFont val="Arial"/>
        <family val="0"/>
        <charset val="1"/>
      </rPr>
      <t xml:space="preserve">CUBE App</t>
    </r>
    <r>
      <rPr>
        <sz val="11"/>
        <rFont val="Noto Sans CJK SC"/>
        <family val="2"/>
      </rPr>
      <t xml:space="preserve">與卡片管理</t>
    </r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</si>
  <si>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可以查詢回饋點數嗎？</t>
    </r>
  </si>
  <si>
    <r>
      <rPr>
        <sz val="11"/>
        <rFont val="Noto Sans CJK SC"/>
        <family val="2"/>
      </rPr>
      <t xml:space="preserve">要怎麼用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切換信用卡權益？</t>
    </r>
  </si>
  <si>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可以即時看到每一筆消費明細嗎？</t>
    </r>
  </si>
  <si>
    <r>
      <rPr>
        <sz val="11"/>
        <rFont val="Noto Sans CJK SC"/>
        <family val="2"/>
      </rPr>
      <t xml:space="preserve">要怎麼在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設定信用卡的繳款提醒？</t>
    </r>
  </si>
  <si>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可以線上申請調整信用卡額度嗎？</t>
    </r>
  </si>
  <si>
    <r>
      <rPr>
        <sz val="11"/>
        <rFont val="Noto Sans CJK SC"/>
        <family val="2"/>
      </rPr>
      <t xml:space="preserve">要怎麼用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鎖卡或暫停信用卡？</t>
    </r>
  </si>
  <si>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可以管理自動扣繳和帳單分期嗎？</t>
    </r>
  </si>
  <si>
    <r>
      <rPr>
        <sz val="11"/>
        <rFont val="Noto Sans CJK SC"/>
        <family val="2"/>
      </rPr>
      <t xml:space="preserve">第一次使用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要怎麼註冊與綁定卡片？</t>
    </r>
  </si>
  <si>
    <t xml:space="preserve">紅利點數與小樹點</t>
  </si>
  <si>
    <t xml:space="preserve">國泰世華的小樹點要怎麼累積？</t>
  </si>
  <si>
    <t xml:space="preserve">小樹點可以兌換哪些商品或服務？</t>
  </si>
  <si>
    <t xml:space="preserve">小樹點換現金回饋和換商品哪一個比較划算？</t>
  </si>
  <si>
    <t xml:space="preserve">小樹點有使用期限嗎？</t>
  </si>
  <si>
    <t xml:space="preserve">要怎麼查詢我目前累積的小樹點？</t>
  </si>
  <si>
    <t xml:space="preserve">小樹點可以折抵信用卡帳單嗎？</t>
  </si>
  <si>
    <t xml:space="preserve">個人金融</t>
  </si>
  <si>
    <t xml:space="preserve">數位帳戶與功能</t>
  </si>
  <si>
    <t xml:space="preserve">國泰世華的數位帳戶有哪些主要功能？</t>
  </si>
  <si>
    <t xml:space="preserve">國泰世華的一般帳戶和數位帳戶有什麼不一樣？</t>
  </si>
  <si>
    <t xml:space="preserve">國泰世華數位帳戶的活存利率是多少？</t>
  </si>
  <si>
    <t xml:space="preserve">國泰世華數位帳戶可以設定子帳戶分開管理存款嗎？</t>
  </si>
  <si>
    <t xml:space="preserve">國泰世華數位帳戶有跨行轉帳與提款的免費次數嗎？</t>
  </si>
  <si>
    <t xml:space="preserve">要怎麼把一般帳戶升級為國泰世華數位帳戶？</t>
  </si>
  <si>
    <t xml:space="preserve">小資族想用數位帳戶管理薪水，哪一家銀行的數位帳戶最適合？</t>
  </si>
  <si>
    <t xml:space="preserve">國泰世華數位帳戶開戶有什麼新戶優惠？</t>
  </si>
  <si>
    <t xml:space="preserve">活存與定存利率</t>
  </si>
  <si>
    <t xml:space="preserve">國泰世華目前的台幣定存利率是多少？</t>
  </si>
  <si>
    <t xml:space="preserve">想找活存利率較高的數位帳戶，有哪幾家銀行值得比較？</t>
  </si>
  <si>
    <t xml:space="preserve">各家銀行子帳戶的優惠活存利率怎麼比較？</t>
  </si>
  <si>
    <t xml:space="preserve">短期資金想放國泰世華，台幣定存和數位帳戶活存哪一個比較划算？</t>
  </si>
  <si>
    <t xml:space="preserve">國泰世華目前有哪些台幣定存的優惠方案？</t>
  </si>
  <si>
    <t xml:space="preserve">在國泰世華做台幣定存，機動利率和固定利率哪一個比較划算？</t>
  </si>
  <si>
    <t xml:space="preserve">一筆短期閒置資金想放高利活存，哪一家銀行的數位帳戶利率最高？</t>
  </si>
  <si>
    <t xml:space="preserve">國泰世華的定存可以線上開立嗎？</t>
  </si>
  <si>
    <t xml:space="preserve">國泰世華的定存提前解約會有什麼損失？</t>
  </si>
  <si>
    <t xml:space="preserve">外幣存款與換匯</t>
  </si>
  <si>
    <t xml:space="preserve">國泰世華目前有哪些外幣定存的優惠方案？</t>
  </si>
  <si>
    <t xml:space="preserve">美金定存的利率各家銀行怎麼比較？</t>
  </si>
  <si>
    <t xml:space="preserve">想做短期美元配置，國泰世華的外幣定存和外幣活存哪一個比較適合？</t>
  </si>
  <si>
    <r>
      <rPr>
        <sz val="11"/>
        <rFont val="Noto Sans CJK SC"/>
        <family val="2"/>
      </rPr>
      <t xml:space="preserve">要怎麼在國泰世華 </t>
    </r>
    <r>
      <rPr>
        <sz val="11"/>
        <rFont val="Arial"/>
        <family val="0"/>
        <charset val="1"/>
      </rPr>
      <t xml:space="preserve">CUBE App </t>
    </r>
    <r>
      <rPr>
        <sz val="11"/>
        <rFont val="Noto Sans CJK SC"/>
        <family val="2"/>
      </rPr>
      <t xml:space="preserve">線上換匯？</t>
    </r>
  </si>
  <si>
    <t xml:space="preserve">國泰世華的外幣轉帳會收手續費嗎？</t>
  </si>
  <si>
    <t xml:space="preserve">用國泰世華外幣提款機領外幣現鈔有優惠嗎？</t>
  </si>
  <si>
    <t xml:space="preserve">國泰世華外幣提款機領外幣有每日限額嗎？</t>
  </si>
  <si>
    <t xml:space="preserve">第一次想做外幣定存，國泰世華有哪些適合新手的幣別和方案？</t>
  </si>
  <si>
    <t xml:space="preserve">國泰世華線上換匯的匯率會比臨櫃好嗎？</t>
  </si>
  <si>
    <t xml:space="preserve">跨行轉帳與費用</t>
  </si>
  <si>
    <r>
      <rPr>
        <sz val="11"/>
        <rFont val="Noto Sans CJK SC"/>
        <family val="2"/>
      </rPr>
      <t xml:space="preserve">國泰世華 </t>
    </r>
    <r>
      <rPr>
        <sz val="11"/>
        <rFont val="Arial"/>
        <family val="0"/>
        <charset val="1"/>
      </rPr>
      <t xml:space="preserve">CUBE </t>
    </r>
    <r>
      <rPr>
        <sz val="11"/>
        <rFont val="Noto Sans CJK SC"/>
        <family val="2"/>
      </rPr>
      <t xml:space="preserve">每月跨行轉帳的免費次數和最高金額是多少？</t>
    </r>
  </si>
  <si>
    <t xml:space="preserve">國泰世華網路銀行可以轉帳給非約定帳戶嗎？</t>
  </si>
  <si>
    <t xml:space="preserve">國泰世華跨行轉帳的手續費是多少，要怎麼省？</t>
  </si>
  <si>
    <t xml:space="preserve">在國泰世華要怎麼設定約定轉帳帳戶？</t>
  </si>
  <si>
    <t xml:space="preserve">國泰世華的跨行提款免手續費次數有多少？</t>
  </si>
  <si>
    <t xml:space="preserve">理財入門與投資</t>
  </si>
  <si>
    <t xml:space="preserve">小資族想開始理財，國泰世華的數位帳戶和定期定額基金哪一個適合當第一步？</t>
  </si>
  <si>
    <t xml:space="preserve">國泰世華有沒有適合幫小孩開始理財的兒童帳戶或親子方案？</t>
  </si>
  <si>
    <t xml:space="preserve">國泰世華有哪些適合新手的基金或理財產品？</t>
  </si>
  <si>
    <t xml:space="preserve">每月有固定結餘想投資，哪一家銀行的定期定額基金平台手續費最低？</t>
  </si>
  <si>
    <t xml:space="preserve">帳戶</t>
  </si>
  <si>
    <t xml:space="preserve">開戶資格與文件</t>
  </si>
  <si>
    <t xml:space="preserve">在國泰世華銀行開戶需要準備哪些文件？</t>
  </si>
  <si>
    <t xml:space="preserve">開立國泰世華帳戶有年齡限制嗎？</t>
  </si>
  <si>
    <t xml:space="preserve">未成年人可以開國泰世華的帳戶嗎，需要什麼條件？</t>
  </si>
  <si>
    <t xml:space="preserve">在國泰世華開戶後多久會收到提款卡，要怎麼開卡？</t>
  </si>
  <si>
    <t xml:space="preserve">第一次想線上開戶，哪一家銀行的流程對新手最友善？</t>
  </si>
  <si>
    <t xml:space="preserve">外國人或新住民可以在國泰世華開戶嗎？</t>
  </si>
  <si>
    <t xml:space="preserve">線上開戶流程</t>
  </si>
  <si>
    <t xml:space="preserve">國泰世華可以線上開戶嗎，流程是怎樣？</t>
  </si>
  <si>
    <t xml:space="preserve">國泰世華線上開戶和臨櫃辦理有什麼差別？</t>
  </si>
  <si>
    <t xml:space="preserve">線上開立國泰世華數位帳戶需要哪些證件？</t>
  </si>
  <si>
    <t xml:space="preserve">在國泰世華線上開戶大約多久可以完成？</t>
  </si>
  <si>
    <t xml:space="preserve">國泰世華線上開戶需要視訊驗證嗎？</t>
  </si>
  <si>
    <t xml:space="preserve">帳戶類型與選擇</t>
  </si>
  <si>
    <t xml:space="preserve">國泰世華有哪些存款帳戶類型可以選擇？</t>
  </si>
  <si>
    <t xml:space="preserve">國泰世華的薪轉帳戶和一般帳戶有什麼差別？</t>
  </si>
  <si>
    <t xml:space="preserve">在國泰世華，我該選一般帳戶還是數位帳戶？</t>
  </si>
  <si>
    <t xml:space="preserve">國泰世華的證券交割帳戶要怎麼開？</t>
  </si>
  <si>
    <t xml:space="preserve">貸款</t>
  </si>
  <si>
    <t xml:space="preserve">個人信貸申請與流程</t>
  </si>
  <si>
    <t xml:space="preserve">國泰世華的個人信貸要怎麼線上申請？</t>
  </si>
  <si>
    <t xml:space="preserve">國泰世華信貸的線上申請流程是怎麼進行的？</t>
  </si>
  <si>
    <t xml:space="preserve">申請國泰世華個人信貸需要準備哪些文件？</t>
  </si>
  <si>
    <t xml:space="preserve">國泰世華信貸核准後多久會入帳？</t>
  </si>
  <si>
    <t xml:space="preserve">核貸條件與額度</t>
  </si>
  <si>
    <t xml:space="preserve">月薪四萬在國泰世華大約可以貸到多少額度？</t>
  </si>
  <si>
    <t xml:space="preserve">申請國泰世華個人信貸的基本資格有哪些？</t>
  </si>
  <si>
    <t xml:space="preserve">國泰世華的個人信貸好不好申請？</t>
  </si>
  <si>
    <t xml:space="preserve">利率與比較</t>
  </si>
  <si>
    <t xml:space="preserve">各家銀行的個人信貸最優惠利率怎麼比較？</t>
  </si>
  <si>
    <t xml:space="preserve">國泰世華的信貸利率是看個人條件還是固定的？</t>
  </si>
  <si>
    <t xml:space="preserve">國泰世華線上申請信貸和臨櫃辦理的利率會不同嗎？</t>
  </si>
  <si>
    <t xml:space="preserve">Cathay United Bank — Cleaned Prompt Library</t>
  </si>
  <si>
    <t xml:space="preserve">Trial-ready set · Market = Taiwan · allocated by existing topic weight</t>
  </si>
  <si>
    <t xml:space="preserve">Prompts</t>
  </si>
  <si>
    <r>
      <rPr>
        <sz val="11"/>
        <rFont val="Noto Sans CJK SC"/>
        <family val="2"/>
      </rPr>
      <t xml:space="preserve">信用卡 </t>
    </r>
    <r>
      <rPr>
        <sz val="11"/>
        <rFont val="Arial"/>
        <family val="0"/>
        <charset val="1"/>
      </rPr>
      <t xml:space="preserve">Credit cards / CUBE (incl. servicing)</t>
    </r>
  </si>
  <si>
    <r>
      <rPr>
        <sz val="11"/>
        <rFont val="Noto Sans CJK SC"/>
        <family val="2"/>
      </rPr>
      <t xml:space="preserve">個人金融 </t>
    </r>
    <r>
      <rPr>
        <sz val="11"/>
        <rFont val="Arial"/>
        <family val="0"/>
        <charset val="1"/>
      </rPr>
      <t xml:space="preserve">Personal finance</t>
    </r>
  </si>
  <si>
    <r>
      <rPr>
        <sz val="11"/>
        <rFont val="Noto Sans CJK SC"/>
        <family val="2"/>
      </rPr>
      <t xml:space="preserve">帳戶 </t>
    </r>
    <r>
      <rPr>
        <sz val="11"/>
        <rFont val="Arial"/>
        <family val="0"/>
        <charset val="1"/>
      </rPr>
      <t xml:space="preserve">Accounts</t>
    </r>
  </si>
  <si>
    <r>
      <rPr>
        <sz val="11"/>
        <rFont val="Noto Sans CJK SC"/>
        <family val="2"/>
      </rPr>
      <t xml:space="preserve">貸款 </t>
    </r>
    <r>
      <rPr>
        <sz val="11"/>
        <rFont val="Arial"/>
        <family val="0"/>
        <charset val="1"/>
      </rPr>
      <t xml:space="preserve">Loans</t>
    </r>
  </si>
  <si>
    <t xml:space="preserve">Total</t>
  </si>
  <si>
    <r>
      <rPr>
        <sz val="11"/>
        <color theme="1"/>
        <rFont val="Calibri"/>
        <family val="2"/>
        <charset val="1"/>
      </rPr>
      <t xml:space="preserve">Branded (names </t>
    </r>
    <r>
      <rPr>
        <sz val="11"/>
        <color theme="1"/>
        <rFont val="Noto Sans CJK SC"/>
        <family val="2"/>
      </rPr>
      <t xml:space="preserve">國泰 </t>
    </r>
    <r>
      <rPr>
        <sz val="11"/>
        <color theme="1"/>
        <rFont val="Calibri"/>
        <family val="2"/>
        <charset val="1"/>
      </rPr>
      <t xml:space="preserve">/ CUBE / </t>
    </r>
    <r>
      <rPr>
        <sz val="11"/>
        <color theme="1"/>
        <rFont val="Noto Sans CJK SC"/>
        <family val="2"/>
      </rPr>
      <t xml:space="preserve">世界卡 …</t>
    </r>
    <r>
      <rPr>
        <sz val="11"/>
        <color theme="1"/>
        <rFont val="Calibri"/>
        <family val="2"/>
        <charset val="1"/>
      </rPr>
      <t xml:space="preserve">)</t>
    </r>
  </si>
  <si>
    <t xml:space="preserve">Unbranded (generic)</t>
  </si>
  <si>
    <t xml:space="preserve">What was done to produce this set:</t>
  </si>
  <si>
    <t xml:space="preserve">• Started from the 254-row trial export; removed the 14 processing / off-domain rows.</t>
  </si>
  <si>
    <r>
      <rPr>
        <sz val="10"/>
        <rFont val="Arial"/>
        <family val="0"/>
        <charset val="1"/>
      </rPr>
      <t xml:space="preserve">• Consolidated duplicate keyword fragments (e.g. </t>
    </r>
    <r>
      <rPr>
        <sz val="10"/>
        <rFont val="Noto Sans CJK SC"/>
        <family val="2"/>
      </rPr>
      <t xml:space="preserve">國泰</t>
    </r>
    <r>
      <rPr>
        <sz val="10"/>
        <rFont val="Arial"/>
        <family val="0"/>
        <charset val="1"/>
      </rPr>
      <t xml:space="preserve">Cube</t>
    </r>
    <r>
      <rPr>
        <sz val="10"/>
        <rFont val="Noto Sans CJK SC"/>
        <family val="2"/>
      </rPr>
      <t xml:space="preserve">信用卡 </t>
    </r>
    <r>
      <rPr>
        <sz val="10"/>
        <rFont val="Arial"/>
        <family val="0"/>
        <charset val="1"/>
      </rPr>
      <t xml:space="preserve">×18, </t>
    </r>
    <r>
      <rPr>
        <sz val="10"/>
        <rFont val="Noto Sans CJK SC"/>
        <family val="2"/>
      </rPr>
      <t xml:space="preserve">信用卡機場接送 </t>
    </r>
    <r>
      <rPr>
        <sz val="10"/>
        <rFont val="Arial"/>
        <family val="0"/>
        <charset val="1"/>
      </rPr>
      <t xml:space="preserve">×8).</t>
    </r>
  </si>
  <si>
    <t xml:space="preserve">• Rewrote keyword fragments into single-intent, natural customer questions.</t>
  </si>
  <si>
    <r>
      <rPr>
        <sz val="10"/>
        <rFont val="Arial"/>
        <family val="0"/>
        <charset val="1"/>
      </rPr>
      <t xml:space="preserve">• Merged </t>
    </r>
    <r>
      <rPr>
        <sz val="10"/>
        <rFont val="Noto Sans CJK SC"/>
        <family val="2"/>
      </rPr>
      <t xml:space="preserve">信用卡服務 </t>
    </r>
    <r>
      <rPr>
        <sz val="10"/>
        <rFont val="Arial"/>
        <family val="0"/>
        <charset val="1"/>
      </rPr>
      <t xml:space="preserve">into </t>
    </r>
    <r>
      <rPr>
        <sz val="10"/>
        <rFont val="Noto Sans CJK SC"/>
        <family val="2"/>
      </rPr>
      <t xml:space="preserve">信用卡 </t>
    </r>
    <r>
      <rPr>
        <sz val="10"/>
        <rFont val="Arial"/>
        <family val="0"/>
        <charset val="1"/>
      </rPr>
      <t xml:space="preserve">(servicing is part of the card line, expressed as topics).</t>
    </r>
  </si>
  <si>
    <t xml:space="preserve">• Re-tagged Branded and set Market = Taiwan (the export had all rows No / US).</t>
  </si>
  <si>
    <t xml:space="preserve">• Allocated by category weight: cards 140 / personal finance 35 / accounts 15 / loans 10.</t>
  </si>
  <si>
    <t xml:space="preserve">• Validated all 200 (see Validation sheet): every prompt classified by what it tests; 11 weak generic-advice prompts reframed.</t>
  </si>
  <si>
    <t xml:space="preserve">Prompt validation — each prompt's job, the metric to grade it on, and the lever if it underperforms</t>
  </si>
  <si>
    <t xml:space="preserve">Every prompt is classified by JOB, and the job sets which metric to read. Grade at the prompt level — a metric blended across a topic's mixed jobs misleads (e.g. Content prompts pull a topic's Brand Mentions toward zero). Roll up to topic / category only within a single job. The Library lists Job, Journey stage and Persona / segment; Primary metric and Action derive from Job via the guide below, so they are not repeated per row.</t>
  </si>
  <si>
    <t xml:space="preserve">What it tests</t>
  </si>
  <si>
    <t xml:space="preserve">Primary metric to watch</t>
  </si>
  <si>
    <t xml:space="preserve">Watch out (don't false-alarm)</t>
  </si>
  <si>
    <t xml:space="preserve">If underperforming → action</t>
  </si>
  <si>
    <t xml:space="preserve">How the AI represents Cathay when it is named — facts, benefits, recommendations, sentiment (and head-to-head when a rival is named).</t>
  </si>
  <si>
    <t xml:space="preserve">Visibility Score · Sentiment · Brand Mentions</t>
  </si>
  <si>
    <t xml:space="preserve">You should appear when named, so a high score is the baseline — flag the exceptions (absent / wrong / negative). SoV is not meaningful here.</t>
  </si>
  <si>
    <t xml:space="preserve">Fix / strengthen owned product pages + structured data; correct misinformation; address the drivers behind weak sentiment.</t>
  </si>
  <si>
    <t xml:space="preserve">Whether Cathay is named / ranked when users compare or shop without naming a bank.</t>
  </si>
  <si>
    <t xml:space="preserve">Share of Voice · Position · Mentions</t>
  </si>
  <si>
    <t xml:space="preserve">Low Owned Citations is fine — being named / recommended is the win. The red flag is low SoV or not appearing at all.</t>
  </si>
  <si>
    <t xml:space="preserve">Build category / comparison content and earned third-party presence so Cathay is named among the options.</t>
  </si>
  <si>
    <t xml:space="preserve">Whether Cathay's page is the cited source on a process / how-to / informational question.</t>
  </si>
  <si>
    <t xml:space="preserve">Owned Citations · Content Visibility</t>
  </si>
  <si>
    <t xml:space="preserve">For unbranded ones, 0 Brand Mentions / 0 SoV is expected — don't false-alarm. Judge on whether your URL was cited.</t>
  </si>
  <si>
    <t xml:space="preserve">Make the owned page the clearest, best-structured answer so the AI cites it as the source.</t>
  </si>
  <si>
    <t xml:space="preserve">Count by job</t>
  </si>
  <si>
    <t xml:space="preserve">Count by journey stage</t>
  </si>
  <si>
    <t xml:space="preserve">Count by persona / segment</t>
  </si>
  <si>
    <t xml:space="preserve">Reframed for stronger test value (11)</t>
  </si>
  <si>
    <t xml:space="preserve">Before (generic advice)</t>
  </si>
  <si>
    <t xml:space="preserve">After</t>
  </si>
  <si>
    <t xml:space="preserve">Now (job)</t>
  </si>
  <si>
    <t xml:space="preserve">Why</t>
  </si>
  <si>
    <t xml:space="preserve">累積航空哩程的信用卡值得辦嗎？</t>
  </si>
  <si>
    <t xml:space="preserve">Generic advice → added a bank comparison; now tests share of voice vs rivals.</t>
  </si>
  <si>
    <t xml:space="preserve">數位帳戶適合小資族管理薪水嗎？</t>
  </si>
  <si>
    <t xml:space="preserve">台幣定存和活存哪一個比較適合短期資金？</t>
  </si>
  <si>
    <t xml:space="preserve">Generic advice → named a Cathay product; now tests how the AI represents it.</t>
  </si>
  <si>
    <t xml:space="preserve">定存要選機動利率還是固定利率比較好？</t>
  </si>
  <si>
    <t xml:space="preserve">一筆短期閒置資金，放定存還是數位帳戶活存比較划算？</t>
  </si>
  <si>
    <t xml:space="preserve">想做短期美元配置，外幣定存和外幣活存哪一個比較適合？</t>
  </si>
  <si>
    <t xml:space="preserve">第一次做外幣投資，該從哪一種外幣存款開始？</t>
  </si>
  <si>
    <t xml:space="preserve">剛開始理財的小資族，第一步該怎麼做？</t>
  </si>
  <si>
    <t xml:space="preserve">想幫小孩開始理財，可以怎麼規劃？</t>
  </si>
  <si>
    <t xml:space="preserve">每月有固定結餘，該放定存還是投資基金？</t>
  </si>
  <si>
    <t xml:space="preserve">第一次開戶要注意哪些事情？</t>
  </si>
  <si>
    <t xml:space="preserve">Branded to match “is our content good?” intent (33)</t>
  </si>
  <si>
    <r>
      <rPr>
        <sz val="10"/>
        <rFont val="Arial"/>
        <family val="0"/>
        <charset val="1"/>
      </rPr>
      <t xml:space="preserve">33 pure-informational prompts about Cathay's own processes were branded (named </t>
    </r>
    <r>
      <rPr>
        <sz val="10"/>
        <rFont val="Noto Sans CJK SC"/>
        <family val="2"/>
      </rPr>
      <t xml:space="preserve">國泰世華</t>
    </r>
    <r>
      <rPr>
        <sz val="10"/>
        <rFont val="Arial"/>
        <family val="0"/>
        <charset val="1"/>
      </rPr>
      <t xml:space="preserve">); they show as Branded = Yes, Job = Content, so they are graded on Owned Citations / Content Visibility.</t>
    </r>
  </si>
  <si>
    <t xml:space="preserve">Kept unbranded — discovery / generic concept (6)</t>
  </si>
  <si>
    <t xml:space="preserve">Why kept unbranded</t>
  </si>
  <si>
    <t xml:space="preserve">Top-of-funnel eligibility — a prospect still shopping; unbranded discovery (do we get surfaced) is the point.</t>
  </si>
  <si>
    <t xml:space="preserve">Top-of-funnel eligibility — discovery signal, and the branded student-card angle is already covered.</t>
  </si>
  <si>
    <t xml:space="preserve">Top-of-funnel eligibility — discovery signal for a prospect not yet on Cathay.</t>
  </si>
  <si>
    <t xml:space="preserve">Generic best-practice (DCC) — answer is bank-agnostic; tests general authority, not Cathay content.</t>
  </si>
  <si>
    <r>
      <rPr>
        <sz val="10"/>
        <rFont val="Arial"/>
        <family val="0"/>
        <charset val="1"/>
      </rPr>
      <t xml:space="preserve">Generic benefit concept; the branded </t>
    </r>
    <r>
      <rPr>
        <sz val="10"/>
        <rFont val="Noto Sans CJK SC"/>
        <family val="2"/>
      </rPr>
      <t xml:space="preserve">繳稅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小樹點 </t>
    </r>
    <r>
      <rPr>
        <sz val="10"/>
        <rFont val="Arial"/>
        <family val="0"/>
        <charset val="1"/>
      </rPr>
      <t xml:space="preserve">angle is already covered by branded prompts.</t>
    </r>
  </si>
  <si>
    <r>
      <rPr>
        <sz val="10"/>
        <rFont val="Arial"/>
        <family val="0"/>
        <charset val="1"/>
      </rPr>
      <t xml:space="preserve">Generic benefit concept; branded </t>
    </r>
    <r>
      <rPr>
        <sz val="10"/>
        <rFont val="Noto Sans CJK SC"/>
        <family val="2"/>
      </rPr>
      <t xml:space="preserve">產險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車險 保費 </t>
    </r>
    <r>
      <rPr>
        <sz val="10"/>
        <rFont val="Arial"/>
        <family val="0"/>
        <charset val="1"/>
      </rPr>
      <t xml:space="preserve">angles already covered.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</si>
</sst>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473E6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73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73E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7.15" hidden="false" customHeight="false" outlineLevel="0" collapsed="false">
      <c r="A2" s="2" t="n">
        <v>1</v>
      </c>
      <c r="B2" s="3" t="s">
        <v>9</v>
      </c>
      <c r="C2" s="4" t="s">
        <v>10</v>
      </c>
      <c r="D2" s="5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32.8" hidden="false" customHeight="false" outlineLevel="0" collapsed="false">
      <c r="A3" s="2" t="n">
        <v>2</v>
      </c>
      <c r="B3" s="3" t="s">
        <v>9</v>
      </c>
      <c r="C3" s="4" t="s">
        <v>10</v>
      </c>
      <c r="D3" s="5" t="s">
        <v>17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</row>
    <row r="4" customFormat="false" ht="32.8" hidden="false" customHeight="false" outlineLevel="0" collapsed="false">
      <c r="A4" s="2" t="n">
        <v>3</v>
      </c>
      <c r="B4" s="3" t="s">
        <v>9</v>
      </c>
      <c r="C4" s="4" t="s">
        <v>10</v>
      </c>
      <c r="D4" s="5" t="s">
        <v>19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customFormat="false" ht="17.15" hidden="false" customHeight="false" outlineLevel="0" collapsed="false">
      <c r="A5" s="2" t="n">
        <v>4</v>
      </c>
      <c r="B5" s="3" t="s">
        <v>9</v>
      </c>
      <c r="C5" s="4" t="s">
        <v>10</v>
      </c>
      <c r="D5" s="6" t="s">
        <v>20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</row>
    <row r="6" customFormat="false" ht="17.15" hidden="false" customHeight="false" outlineLevel="0" collapsed="false">
      <c r="A6" s="2" t="n">
        <v>5</v>
      </c>
      <c r="B6" s="3" t="s">
        <v>9</v>
      </c>
      <c r="C6" s="4" t="s">
        <v>10</v>
      </c>
      <c r="D6" s="5" t="s">
        <v>21</v>
      </c>
      <c r="E6" s="2" t="s">
        <v>12</v>
      </c>
      <c r="F6" s="2" t="s">
        <v>13</v>
      </c>
      <c r="G6" s="2" t="s">
        <v>18</v>
      </c>
      <c r="H6" s="2" t="s">
        <v>15</v>
      </c>
      <c r="I6" s="2" t="s">
        <v>16</v>
      </c>
    </row>
    <row r="7" customFormat="false" ht="17.15" hidden="false" customHeight="false" outlineLevel="0" collapsed="false">
      <c r="A7" s="2" t="n">
        <v>6</v>
      </c>
      <c r="B7" s="3" t="s">
        <v>9</v>
      </c>
      <c r="C7" s="4" t="s">
        <v>10</v>
      </c>
      <c r="D7" s="6" t="s">
        <v>22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23</v>
      </c>
    </row>
    <row r="8" customFormat="false" ht="17.15" hidden="false" customHeight="false" outlineLevel="0" collapsed="false">
      <c r="A8" s="2" t="n">
        <v>7</v>
      </c>
      <c r="B8" s="3" t="s">
        <v>9</v>
      </c>
      <c r="C8" s="4" t="s">
        <v>10</v>
      </c>
      <c r="D8" s="5" t="s">
        <v>24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</row>
    <row r="9" customFormat="false" ht="17.15" hidden="false" customHeight="false" outlineLevel="0" collapsed="false">
      <c r="A9" s="2" t="n">
        <v>8</v>
      </c>
      <c r="B9" s="3" t="s">
        <v>9</v>
      </c>
      <c r="C9" s="4" t="s">
        <v>10</v>
      </c>
      <c r="D9" s="6" t="s">
        <v>25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</row>
    <row r="10" customFormat="false" ht="17.15" hidden="false" customHeight="false" outlineLevel="0" collapsed="false">
      <c r="A10" s="2" t="n">
        <v>9</v>
      </c>
      <c r="B10" s="3" t="s">
        <v>9</v>
      </c>
      <c r="C10" s="4" t="s">
        <v>10</v>
      </c>
      <c r="D10" s="5" t="s">
        <v>26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</row>
    <row r="11" customFormat="false" ht="17.15" hidden="false" customHeight="false" outlineLevel="0" collapsed="false">
      <c r="A11" s="2" t="n">
        <v>10</v>
      </c>
      <c r="B11" s="3" t="s">
        <v>9</v>
      </c>
      <c r="C11" s="4" t="s">
        <v>10</v>
      </c>
      <c r="D11" s="6" t="s">
        <v>27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customFormat="false" ht="17.15" hidden="false" customHeight="false" outlineLevel="0" collapsed="false">
      <c r="A12" s="2" t="n">
        <v>11</v>
      </c>
      <c r="B12" s="3" t="s">
        <v>9</v>
      </c>
      <c r="C12" s="4" t="s">
        <v>10</v>
      </c>
      <c r="D12" s="6" t="s">
        <v>28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</row>
    <row r="13" customFormat="false" ht="32.8" hidden="false" customHeight="false" outlineLevel="0" collapsed="false">
      <c r="A13" s="2" t="n">
        <v>12</v>
      </c>
      <c r="B13" s="3" t="s">
        <v>9</v>
      </c>
      <c r="C13" s="4" t="s">
        <v>10</v>
      </c>
      <c r="D13" s="5" t="s">
        <v>29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16</v>
      </c>
    </row>
    <row r="14" customFormat="false" ht="17.15" hidden="false" customHeight="false" outlineLevel="0" collapsed="false">
      <c r="A14" s="2" t="n">
        <v>13</v>
      </c>
      <c r="B14" s="3" t="s">
        <v>9</v>
      </c>
      <c r="C14" s="4" t="s">
        <v>10</v>
      </c>
      <c r="D14" s="5" t="s">
        <v>30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</row>
    <row r="15" customFormat="false" ht="17.15" hidden="false" customHeight="false" outlineLevel="0" collapsed="false">
      <c r="A15" s="2" t="n">
        <v>14</v>
      </c>
      <c r="B15" s="3" t="s">
        <v>9</v>
      </c>
      <c r="C15" s="4" t="s">
        <v>10</v>
      </c>
      <c r="D15" s="5" t="s">
        <v>31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23</v>
      </c>
    </row>
    <row r="16" customFormat="false" ht="17.15" hidden="false" customHeight="false" outlineLevel="0" collapsed="false">
      <c r="A16" s="2" t="n">
        <v>15</v>
      </c>
      <c r="B16" s="3" t="s">
        <v>9</v>
      </c>
      <c r="C16" s="4" t="s">
        <v>10</v>
      </c>
      <c r="D16" s="6" t="s">
        <v>32</v>
      </c>
      <c r="E16" s="2" t="s">
        <v>12</v>
      </c>
      <c r="F16" s="2" t="s">
        <v>13</v>
      </c>
      <c r="G16" s="2" t="s">
        <v>14</v>
      </c>
      <c r="H16" s="2" t="s">
        <v>15</v>
      </c>
      <c r="I16" s="2" t="s">
        <v>16</v>
      </c>
    </row>
    <row r="17" customFormat="false" ht="32.8" hidden="false" customHeight="false" outlineLevel="0" collapsed="false">
      <c r="A17" s="2" t="n">
        <v>16</v>
      </c>
      <c r="B17" s="3" t="s">
        <v>9</v>
      </c>
      <c r="C17" s="4" t="s">
        <v>10</v>
      </c>
      <c r="D17" s="6" t="s">
        <v>33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16</v>
      </c>
    </row>
    <row r="18" customFormat="false" ht="32.8" hidden="false" customHeight="false" outlineLevel="0" collapsed="false">
      <c r="A18" s="2" t="n">
        <v>17</v>
      </c>
      <c r="B18" s="3" t="s">
        <v>9</v>
      </c>
      <c r="C18" s="4" t="s">
        <v>34</v>
      </c>
      <c r="D18" s="5" t="s">
        <v>35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16</v>
      </c>
    </row>
    <row r="19" customFormat="false" ht="17.15" hidden="false" customHeight="false" outlineLevel="0" collapsed="false">
      <c r="A19" s="2" t="n">
        <v>18</v>
      </c>
      <c r="B19" s="3" t="s">
        <v>9</v>
      </c>
      <c r="C19" s="4" t="s">
        <v>34</v>
      </c>
      <c r="D19" s="5" t="s">
        <v>36</v>
      </c>
      <c r="E19" s="2" t="s">
        <v>12</v>
      </c>
      <c r="F19" s="2" t="s">
        <v>13</v>
      </c>
      <c r="G19" s="2" t="s">
        <v>18</v>
      </c>
      <c r="H19" s="2" t="s">
        <v>15</v>
      </c>
      <c r="I19" s="2" t="s">
        <v>16</v>
      </c>
    </row>
    <row r="20" customFormat="false" ht="17.15" hidden="false" customHeight="false" outlineLevel="0" collapsed="false">
      <c r="A20" s="2" t="n">
        <v>19</v>
      </c>
      <c r="B20" s="3" t="s">
        <v>9</v>
      </c>
      <c r="C20" s="4" t="s">
        <v>34</v>
      </c>
      <c r="D20" s="5" t="s">
        <v>37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16</v>
      </c>
    </row>
    <row r="21" customFormat="false" ht="17.15" hidden="false" customHeight="false" outlineLevel="0" collapsed="false">
      <c r="A21" s="2" t="n">
        <v>20</v>
      </c>
      <c r="B21" s="3" t="s">
        <v>9</v>
      </c>
      <c r="C21" s="4" t="s">
        <v>34</v>
      </c>
      <c r="D21" s="5" t="s">
        <v>38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16</v>
      </c>
    </row>
    <row r="22" customFormat="false" ht="17.15" hidden="false" customHeight="false" outlineLevel="0" collapsed="false">
      <c r="A22" s="2" t="n">
        <v>21</v>
      </c>
      <c r="B22" s="3" t="s">
        <v>9</v>
      </c>
      <c r="C22" s="4" t="s">
        <v>34</v>
      </c>
      <c r="D22" s="5" t="s">
        <v>39</v>
      </c>
      <c r="E22" s="2" t="s">
        <v>12</v>
      </c>
      <c r="F22" s="2" t="s">
        <v>13</v>
      </c>
      <c r="G22" s="2" t="s">
        <v>14</v>
      </c>
      <c r="H22" s="2" t="s">
        <v>15</v>
      </c>
      <c r="I22" s="2" t="s">
        <v>16</v>
      </c>
    </row>
    <row r="23" customFormat="false" ht="32.8" hidden="false" customHeight="false" outlineLevel="0" collapsed="false">
      <c r="A23" s="2" t="n">
        <v>22</v>
      </c>
      <c r="B23" s="3" t="s">
        <v>9</v>
      </c>
      <c r="C23" s="4" t="s">
        <v>34</v>
      </c>
      <c r="D23" s="5" t="s">
        <v>40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16</v>
      </c>
    </row>
    <row r="24" customFormat="false" ht="32.8" hidden="false" customHeight="false" outlineLevel="0" collapsed="false">
      <c r="A24" s="2" t="n">
        <v>23</v>
      </c>
      <c r="B24" s="3" t="s">
        <v>9</v>
      </c>
      <c r="C24" s="4" t="s">
        <v>34</v>
      </c>
      <c r="D24" s="5" t="s">
        <v>41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16</v>
      </c>
    </row>
    <row r="25" customFormat="false" ht="17.15" hidden="false" customHeight="false" outlineLevel="0" collapsed="false">
      <c r="A25" s="2" t="n">
        <v>24</v>
      </c>
      <c r="B25" s="3" t="s">
        <v>9</v>
      </c>
      <c r="C25" s="4" t="s">
        <v>34</v>
      </c>
      <c r="D25" s="5" t="s">
        <v>42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16</v>
      </c>
    </row>
    <row r="26" customFormat="false" ht="32.8" hidden="false" customHeight="false" outlineLevel="0" collapsed="false">
      <c r="A26" s="2" t="n">
        <v>25</v>
      </c>
      <c r="B26" s="3" t="s">
        <v>9</v>
      </c>
      <c r="C26" s="4" t="s">
        <v>34</v>
      </c>
      <c r="D26" s="5" t="s">
        <v>43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16</v>
      </c>
    </row>
    <row r="27" customFormat="false" ht="32.8" hidden="false" customHeight="false" outlineLevel="0" collapsed="false">
      <c r="A27" s="2" t="n">
        <v>26</v>
      </c>
      <c r="B27" s="3" t="s">
        <v>9</v>
      </c>
      <c r="C27" s="4" t="s">
        <v>34</v>
      </c>
      <c r="D27" s="5" t="s">
        <v>44</v>
      </c>
      <c r="E27" s="2" t="s">
        <v>12</v>
      </c>
      <c r="F27" s="2" t="s">
        <v>13</v>
      </c>
      <c r="G27" s="2" t="s">
        <v>18</v>
      </c>
      <c r="H27" s="2" t="s">
        <v>15</v>
      </c>
      <c r="I27" s="2" t="s">
        <v>16</v>
      </c>
    </row>
    <row r="28" customFormat="false" ht="17.15" hidden="false" customHeight="false" outlineLevel="0" collapsed="false">
      <c r="A28" s="2" t="n">
        <v>27</v>
      </c>
      <c r="B28" s="3" t="s">
        <v>9</v>
      </c>
      <c r="C28" s="4" t="s">
        <v>34</v>
      </c>
      <c r="D28" s="5" t="s">
        <v>45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16</v>
      </c>
    </row>
    <row r="29" customFormat="false" ht="17.15" hidden="false" customHeight="false" outlineLevel="0" collapsed="false">
      <c r="A29" s="2" t="n">
        <v>28</v>
      </c>
      <c r="B29" s="3" t="s">
        <v>9</v>
      </c>
      <c r="C29" s="4" t="s">
        <v>34</v>
      </c>
      <c r="D29" s="5" t="s">
        <v>46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23</v>
      </c>
    </row>
    <row r="30" customFormat="false" ht="17.15" hidden="false" customHeight="false" outlineLevel="0" collapsed="false">
      <c r="A30" s="2" t="n">
        <v>29</v>
      </c>
      <c r="B30" s="3" t="s">
        <v>9</v>
      </c>
      <c r="C30" s="3" t="s">
        <v>47</v>
      </c>
      <c r="D30" s="5" t="s">
        <v>48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49</v>
      </c>
    </row>
    <row r="31" customFormat="false" ht="17.15" hidden="false" customHeight="false" outlineLevel="0" collapsed="false">
      <c r="A31" s="2" t="n">
        <v>30</v>
      </c>
      <c r="B31" s="3" t="s">
        <v>9</v>
      </c>
      <c r="C31" s="3" t="s">
        <v>47</v>
      </c>
      <c r="D31" s="5" t="s">
        <v>50</v>
      </c>
      <c r="E31" s="2" t="s">
        <v>12</v>
      </c>
      <c r="F31" s="2" t="s">
        <v>13</v>
      </c>
      <c r="G31" s="2" t="s">
        <v>18</v>
      </c>
      <c r="H31" s="2" t="s">
        <v>15</v>
      </c>
      <c r="I31" s="2" t="s">
        <v>16</v>
      </c>
    </row>
    <row r="32" customFormat="false" ht="17.15" hidden="false" customHeight="false" outlineLevel="0" collapsed="false">
      <c r="A32" s="2" t="n">
        <v>31</v>
      </c>
      <c r="B32" s="3" t="s">
        <v>9</v>
      </c>
      <c r="C32" s="3" t="s">
        <v>47</v>
      </c>
      <c r="D32" s="5" t="s">
        <v>51</v>
      </c>
      <c r="E32" s="2" t="s">
        <v>12</v>
      </c>
      <c r="F32" s="2" t="s">
        <v>13</v>
      </c>
      <c r="G32" s="2" t="s">
        <v>18</v>
      </c>
      <c r="H32" s="2" t="s">
        <v>15</v>
      </c>
      <c r="I32" s="2" t="s">
        <v>16</v>
      </c>
    </row>
    <row r="33" customFormat="false" ht="17.15" hidden="false" customHeight="false" outlineLevel="0" collapsed="false">
      <c r="A33" s="2" t="n">
        <v>32</v>
      </c>
      <c r="B33" s="3" t="s">
        <v>9</v>
      </c>
      <c r="C33" s="3" t="s">
        <v>47</v>
      </c>
      <c r="D33" s="5" t="s">
        <v>52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16</v>
      </c>
    </row>
    <row r="34" customFormat="false" ht="17.15" hidden="false" customHeight="false" outlineLevel="0" collapsed="false">
      <c r="A34" s="2" t="n">
        <v>33</v>
      </c>
      <c r="B34" s="3" t="s">
        <v>9</v>
      </c>
      <c r="C34" s="3" t="s">
        <v>47</v>
      </c>
      <c r="D34" s="5" t="s">
        <v>53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16</v>
      </c>
    </row>
    <row r="35" customFormat="false" ht="17.15" hidden="false" customHeight="false" outlineLevel="0" collapsed="false">
      <c r="A35" s="2" t="n">
        <v>34</v>
      </c>
      <c r="B35" s="3" t="s">
        <v>9</v>
      </c>
      <c r="C35" s="3" t="s">
        <v>47</v>
      </c>
      <c r="D35" s="5" t="s">
        <v>54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16</v>
      </c>
    </row>
    <row r="36" customFormat="false" ht="17.15" hidden="false" customHeight="false" outlineLevel="0" collapsed="false">
      <c r="A36" s="2" t="n">
        <v>35</v>
      </c>
      <c r="B36" s="3" t="s">
        <v>9</v>
      </c>
      <c r="C36" s="3" t="s">
        <v>47</v>
      </c>
      <c r="D36" s="5" t="s">
        <v>55</v>
      </c>
      <c r="E36" s="2" t="s">
        <v>12</v>
      </c>
      <c r="F36" s="2" t="s">
        <v>13</v>
      </c>
      <c r="G36" s="2" t="s">
        <v>18</v>
      </c>
      <c r="H36" s="2" t="s">
        <v>15</v>
      </c>
      <c r="I36" s="2" t="s">
        <v>16</v>
      </c>
    </row>
    <row r="37" customFormat="false" ht="17.15" hidden="false" customHeight="false" outlineLevel="0" collapsed="false">
      <c r="A37" s="2" t="n">
        <v>36</v>
      </c>
      <c r="B37" s="3" t="s">
        <v>9</v>
      </c>
      <c r="C37" s="3" t="s">
        <v>47</v>
      </c>
      <c r="D37" s="5" t="s">
        <v>56</v>
      </c>
      <c r="E37" s="2" t="s">
        <v>12</v>
      </c>
      <c r="F37" s="2" t="s">
        <v>13</v>
      </c>
      <c r="G37" s="2" t="s">
        <v>18</v>
      </c>
      <c r="H37" s="2" t="s">
        <v>15</v>
      </c>
      <c r="I37" s="2" t="s">
        <v>16</v>
      </c>
    </row>
    <row r="38" customFormat="false" ht="17.15" hidden="false" customHeight="false" outlineLevel="0" collapsed="false">
      <c r="A38" s="2" t="n">
        <v>37</v>
      </c>
      <c r="B38" s="3" t="s">
        <v>9</v>
      </c>
      <c r="C38" s="3" t="s">
        <v>47</v>
      </c>
      <c r="D38" s="5" t="s">
        <v>57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16</v>
      </c>
    </row>
    <row r="39" customFormat="false" ht="17.15" hidden="false" customHeight="false" outlineLevel="0" collapsed="false">
      <c r="A39" s="2" t="n">
        <v>38</v>
      </c>
      <c r="B39" s="3" t="s">
        <v>9</v>
      </c>
      <c r="C39" s="3" t="s">
        <v>47</v>
      </c>
      <c r="D39" s="5" t="s">
        <v>58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16</v>
      </c>
    </row>
    <row r="40" customFormat="false" ht="17.15" hidden="false" customHeight="false" outlineLevel="0" collapsed="false">
      <c r="A40" s="2" t="n">
        <v>39</v>
      </c>
      <c r="B40" s="3" t="s">
        <v>9</v>
      </c>
      <c r="C40" s="3" t="s">
        <v>47</v>
      </c>
      <c r="D40" s="5" t="s">
        <v>59</v>
      </c>
      <c r="E40" s="2" t="s">
        <v>60</v>
      </c>
      <c r="F40" s="2" t="s">
        <v>13</v>
      </c>
      <c r="G40" s="2" t="s">
        <v>61</v>
      </c>
      <c r="H40" s="2" t="s">
        <v>15</v>
      </c>
      <c r="I40" s="2" t="s">
        <v>16</v>
      </c>
    </row>
    <row r="41" customFormat="false" ht="17.15" hidden="false" customHeight="false" outlineLevel="0" collapsed="false">
      <c r="A41" s="2" t="n">
        <v>40</v>
      </c>
      <c r="B41" s="3" t="s">
        <v>9</v>
      </c>
      <c r="C41" s="3" t="s">
        <v>47</v>
      </c>
      <c r="D41" s="5" t="s">
        <v>62</v>
      </c>
      <c r="E41" s="2" t="s">
        <v>12</v>
      </c>
      <c r="F41" s="2" t="s">
        <v>13</v>
      </c>
      <c r="G41" s="2" t="s">
        <v>14</v>
      </c>
      <c r="H41" s="2" t="s">
        <v>15</v>
      </c>
      <c r="I41" s="2" t="s">
        <v>16</v>
      </c>
    </row>
    <row r="42" customFormat="false" ht="17.15" hidden="false" customHeight="false" outlineLevel="0" collapsed="false">
      <c r="A42" s="2" t="n">
        <v>41</v>
      </c>
      <c r="B42" s="3" t="s">
        <v>9</v>
      </c>
      <c r="C42" s="3" t="s">
        <v>47</v>
      </c>
      <c r="D42" s="5" t="s">
        <v>63</v>
      </c>
      <c r="E42" s="2" t="s">
        <v>60</v>
      </c>
      <c r="F42" s="2" t="s">
        <v>13</v>
      </c>
      <c r="G42" s="2" t="s">
        <v>61</v>
      </c>
      <c r="H42" s="2" t="s">
        <v>15</v>
      </c>
      <c r="I42" s="2" t="s">
        <v>16</v>
      </c>
    </row>
    <row r="43" customFormat="false" ht="17.15" hidden="false" customHeight="false" outlineLevel="0" collapsed="false">
      <c r="A43" s="2" t="n">
        <v>42</v>
      </c>
      <c r="B43" s="3" t="s">
        <v>9</v>
      </c>
      <c r="C43" s="3" t="s">
        <v>47</v>
      </c>
      <c r="D43" s="5" t="s">
        <v>64</v>
      </c>
      <c r="E43" s="2" t="s">
        <v>60</v>
      </c>
      <c r="F43" s="2" t="s">
        <v>13</v>
      </c>
      <c r="G43" s="2" t="s">
        <v>61</v>
      </c>
      <c r="H43" s="2" t="s">
        <v>15</v>
      </c>
      <c r="I43" s="2" t="s">
        <v>16</v>
      </c>
    </row>
    <row r="44" customFormat="false" ht="17.15" hidden="false" customHeight="false" outlineLevel="0" collapsed="false">
      <c r="A44" s="2" t="n">
        <v>43</v>
      </c>
      <c r="B44" s="3" t="s">
        <v>9</v>
      </c>
      <c r="C44" s="3" t="s">
        <v>65</v>
      </c>
      <c r="D44" s="5" t="s">
        <v>66</v>
      </c>
      <c r="E44" s="2" t="s">
        <v>12</v>
      </c>
      <c r="F44" s="2" t="s">
        <v>13</v>
      </c>
      <c r="G44" s="2" t="s">
        <v>18</v>
      </c>
      <c r="H44" s="2" t="s">
        <v>15</v>
      </c>
      <c r="I44" s="2" t="s">
        <v>16</v>
      </c>
    </row>
    <row r="45" customFormat="false" ht="17.15" hidden="false" customHeight="false" outlineLevel="0" collapsed="false">
      <c r="A45" s="2" t="n">
        <v>44</v>
      </c>
      <c r="B45" s="3" t="s">
        <v>9</v>
      </c>
      <c r="C45" s="3" t="s">
        <v>65</v>
      </c>
      <c r="D45" s="5" t="s">
        <v>67</v>
      </c>
      <c r="E45" s="2" t="s">
        <v>12</v>
      </c>
      <c r="F45" s="2" t="s">
        <v>13</v>
      </c>
      <c r="G45" s="2" t="s">
        <v>14</v>
      </c>
      <c r="H45" s="2" t="s">
        <v>15</v>
      </c>
      <c r="I45" s="2" t="s">
        <v>16</v>
      </c>
    </row>
    <row r="46" customFormat="false" ht="17.15" hidden="false" customHeight="false" outlineLevel="0" collapsed="false">
      <c r="A46" s="2" t="n">
        <v>45</v>
      </c>
      <c r="B46" s="3" t="s">
        <v>9</v>
      </c>
      <c r="C46" s="3" t="s">
        <v>65</v>
      </c>
      <c r="D46" s="5" t="s">
        <v>68</v>
      </c>
      <c r="E46" s="2" t="s">
        <v>12</v>
      </c>
      <c r="F46" s="2" t="s">
        <v>13</v>
      </c>
      <c r="G46" s="2" t="s">
        <v>14</v>
      </c>
      <c r="H46" s="2" t="s">
        <v>15</v>
      </c>
      <c r="I46" s="2" t="s">
        <v>16</v>
      </c>
    </row>
    <row r="47" customFormat="false" ht="17.15" hidden="false" customHeight="false" outlineLevel="0" collapsed="false">
      <c r="A47" s="2" t="n">
        <v>46</v>
      </c>
      <c r="B47" s="3" t="s">
        <v>9</v>
      </c>
      <c r="C47" s="3" t="s">
        <v>65</v>
      </c>
      <c r="D47" s="5" t="s">
        <v>69</v>
      </c>
      <c r="E47" s="2" t="s">
        <v>60</v>
      </c>
      <c r="F47" s="2" t="s">
        <v>13</v>
      </c>
      <c r="G47" s="2" t="s">
        <v>61</v>
      </c>
      <c r="H47" s="2" t="s">
        <v>15</v>
      </c>
      <c r="I47" s="2" t="s">
        <v>16</v>
      </c>
    </row>
    <row r="48" customFormat="false" ht="17.15" hidden="false" customHeight="false" outlineLevel="0" collapsed="false">
      <c r="A48" s="2" t="n">
        <v>47</v>
      </c>
      <c r="B48" s="3" t="s">
        <v>9</v>
      </c>
      <c r="C48" s="3" t="s">
        <v>65</v>
      </c>
      <c r="D48" s="5" t="s">
        <v>70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</v>
      </c>
    </row>
    <row r="49" customFormat="false" ht="32.8" hidden="false" customHeight="false" outlineLevel="0" collapsed="false">
      <c r="A49" s="2" t="n">
        <v>48</v>
      </c>
      <c r="B49" s="3" t="s">
        <v>9</v>
      </c>
      <c r="C49" s="3" t="s">
        <v>65</v>
      </c>
      <c r="D49" s="5" t="s">
        <v>71</v>
      </c>
      <c r="E49" s="2" t="s">
        <v>60</v>
      </c>
      <c r="F49" s="2" t="s">
        <v>13</v>
      </c>
      <c r="G49" s="2" t="s">
        <v>61</v>
      </c>
      <c r="H49" s="2" t="s">
        <v>15</v>
      </c>
      <c r="I49" s="2" t="s">
        <v>49</v>
      </c>
    </row>
    <row r="50" customFormat="false" ht="17.15" hidden="false" customHeight="false" outlineLevel="0" collapsed="false">
      <c r="A50" s="2" t="n">
        <v>49</v>
      </c>
      <c r="B50" s="3" t="s">
        <v>9</v>
      </c>
      <c r="C50" s="3" t="s">
        <v>72</v>
      </c>
      <c r="D50" s="5" t="s">
        <v>73</v>
      </c>
      <c r="E50" s="2" t="s">
        <v>12</v>
      </c>
      <c r="F50" s="2" t="s">
        <v>13</v>
      </c>
      <c r="G50" s="2" t="s">
        <v>14</v>
      </c>
      <c r="H50" s="2" t="s">
        <v>15</v>
      </c>
      <c r="I50" s="2" t="s">
        <v>16</v>
      </c>
    </row>
    <row r="51" customFormat="false" ht="17.15" hidden="false" customHeight="false" outlineLevel="0" collapsed="false">
      <c r="A51" s="2" t="n">
        <v>50</v>
      </c>
      <c r="B51" s="3" t="s">
        <v>9</v>
      </c>
      <c r="C51" s="3" t="s">
        <v>72</v>
      </c>
      <c r="D51" s="5" t="s">
        <v>74</v>
      </c>
      <c r="E51" s="2" t="s">
        <v>60</v>
      </c>
      <c r="F51" s="2" t="s">
        <v>13</v>
      </c>
      <c r="G51" s="2" t="s">
        <v>18</v>
      </c>
      <c r="H51" s="2" t="s">
        <v>15</v>
      </c>
      <c r="I51" s="2" t="s">
        <v>16</v>
      </c>
    </row>
    <row r="52" customFormat="false" ht="17.15" hidden="false" customHeight="false" outlineLevel="0" collapsed="false">
      <c r="A52" s="2" t="n">
        <v>51</v>
      </c>
      <c r="B52" s="3" t="s">
        <v>9</v>
      </c>
      <c r="C52" s="3" t="s">
        <v>72</v>
      </c>
      <c r="D52" s="5" t="s">
        <v>75</v>
      </c>
      <c r="E52" s="2" t="s">
        <v>12</v>
      </c>
      <c r="F52" s="2" t="s">
        <v>13</v>
      </c>
      <c r="G52" s="2" t="s">
        <v>14</v>
      </c>
      <c r="H52" s="2" t="s">
        <v>15</v>
      </c>
      <c r="I52" s="2" t="s">
        <v>16</v>
      </c>
    </row>
    <row r="53" customFormat="false" ht="17.15" hidden="false" customHeight="false" outlineLevel="0" collapsed="false">
      <c r="A53" s="2" t="n">
        <v>52</v>
      </c>
      <c r="B53" s="3" t="s">
        <v>9</v>
      </c>
      <c r="C53" s="3" t="s">
        <v>72</v>
      </c>
      <c r="D53" s="5" t="s">
        <v>76</v>
      </c>
      <c r="E53" s="2" t="s">
        <v>12</v>
      </c>
      <c r="F53" s="2" t="s">
        <v>13</v>
      </c>
      <c r="G53" s="2" t="s">
        <v>18</v>
      </c>
      <c r="H53" s="2" t="s">
        <v>15</v>
      </c>
      <c r="I53" s="2" t="s">
        <v>16</v>
      </c>
    </row>
    <row r="54" customFormat="false" ht="17.15" hidden="false" customHeight="false" outlineLevel="0" collapsed="false">
      <c r="A54" s="2" t="n">
        <v>53</v>
      </c>
      <c r="B54" s="3" t="s">
        <v>9</v>
      </c>
      <c r="C54" s="3" t="s">
        <v>72</v>
      </c>
      <c r="D54" s="5" t="s">
        <v>77</v>
      </c>
      <c r="E54" s="2" t="s">
        <v>12</v>
      </c>
      <c r="F54" s="2" t="s">
        <v>13</v>
      </c>
      <c r="G54" s="2" t="s">
        <v>14</v>
      </c>
      <c r="H54" s="2" t="s">
        <v>15</v>
      </c>
      <c r="I54" s="2" t="s">
        <v>16</v>
      </c>
    </row>
    <row r="55" customFormat="false" ht="17.15" hidden="false" customHeight="false" outlineLevel="0" collapsed="false">
      <c r="A55" s="2" t="n">
        <v>54</v>
      </c>
      <c r="B55" s="3" t="s">
        <v>9</v>
      </c>
      <c r="C55" s="3" t="s">
        <v>72</v>
      </c>
      <c r="D55" s="5" t="s">
        <v>78</v>
      </c>
      <c r="E55" s="2" t="s">
        <v>12</v>
      </c>
      <c r="F55" s="2" t="s">
        <v>13</v>
      </c>
      <c r="G55" s="2" t="s">
        <v>14</v>
      </c>
      <c r="H55" s="2" t="s">
        <v>15</v>
      </c>
      <c r="I55" s="2" t="s">
        <v>16</v>
      </c>
    </row>
    <row r="56" customFormat="false" ht="17.15" hidden="false" customHeight="false" outlineLevel="0" collapsed="false">
      <c r="A56" s="2" t="n">
        <v>55</v>
      </c>
      <c r="B56" s="3" t="s">
        <v>9</v>
      </c>
      <c r="C56" s="3" t="s">
        <v>72</v>
      </c>
      <c r="D56" s="5" t="s">
        <v>79</v>
      </c>
      <c r="E56" s="2" t="s">
        <v>60</v>
      </c>
      <c r="F56" s="2" t="s">
        <v>13</v>
      </c>
      <c r="G56" s="2" t="s">
        <v>18</v>
      </c>
      <c r="H56" s="2" t="s">
        <v>15</v>
      </c>
      <c r="I56" s="2" t="s">
        <v>16</v>
      </c>
    </row>
    <row r="57" customFormat="false" ht="17.15" hidden="false" customHeight="false" outlineLevel="0" collapsed="false">
      <c r="A57" s="2" t="n">
        <v>56</v>
      </c>
      <c r="B57" s="3" t="s">
        <v>9</v>
      </c>
      <c r="C57" s="3" t="s">
        <v>72</v>
      </c>
      <c r="D57" s="5" t="s">
        <v>80</v>
      </c>
      <c r="E57" s="2" t="s">
        <v>12</v>
      </c>
      <c r="F57" s="2" t="s">
        <v>13</v>
      </c>
      <c r="G57" s="2" t="s">
        <v>14</v>
      </c>
      <c r="H57" s="2" t="s">
        <v>15</v>
      </c>
      <c r="I57" s="2" t="s">
        <v>16</v>
      </c>
    </row>
    <row r="58" customFormat="false" ht="17.15" hidden="false" customHeight="false" outlineLevel="0" collapsed="false">
      <c r="A58" s="2" t="n">
        <v>57</v>
      </c>
      <c r="B58" s="3" t="s">
        <v>9</v>
      </c>
      <c r="C58" s="3" t="s">
        <v>72</v>
      </c>
      <c r="D58" s="5" t="s">
        <v>81</v>
      </c>
      <c r="E58" s="2" t="s">
        <v>12</v>
      </c>
      <c r="F58" s="2" t="s">
        <v>13</v>
      </c>
      <c r="G58" s="2" t="s">
        <v>14</v>
      </c>
      <c r="H58" s="2" t="s">
        <v>15</v>
      </c>
      <c r="I58" s="2" t="s">
        <v>16</v>
      </c>
    </row>
    <row r="59" customFormat="false" ht="17.15" hidden="false" customHeight="false" outlineLevel="0" collapsed="false">
      <c r="A59" s="2" t="n">
        <v>58</v>
      </c>
      <c r="B59" s="3" t="s">
        <v>9</v>
      </c>
      <c r="C59" s="3" t="s">
        <v>72</v>
      </c>
      <c r="D59" s="5" t="s">
        <v>82</v>
      </c>
      <c r="E59" s="2" t="s">
        <v>60</v>
      </c>
      <c r="F59" s="2" t="s">
        <v>13</v>
      </c>
      <c r="G59" s="2" t="s">
        <v>61</v>
      </c>
      <c r="H59" s="2" t="s">
        <v>15</v>
      </c>
      <c r="I59" s="2" t="s">
        <v>83</v>
      </c>
    </row>
    <row r="60" customFormat="false" ht="17.15" hidden="false" customHeight="false" outlineLevel="0" collapsed="false">
      <c r="A60" s="2" t="n">
        <v>59</v>
      </c>
      <c r="B60" s="3" t="s">
        <v>9</v>
      </c>
      <c r="C60" s="3" t="s">
        <v>72</v>
      </c>
      <c r="D60" s="5" t="s">
        <v>84</v>
      </c>
      <c r="E60" s="2" t="s">
        <v>12</v>
      </c>
      <c r="F60" s="2" t="s">
        <v>13</v>
      </c>
      <c r="G60" s="2" t="s">
        <v>14</v>
      </c>
      <c r="H60" s="2" t="s">
        <v>15</v>
      </c>
      <c r="I60" s="2" t="s">
        <v>16</v>
      </c>
    </row>
    <row r="61" customFormat="false" ht="17.15" hidden="false" customHeight="false" outlineLevel="0" collapsed="false">
      <c r="A61" s="2" t="n">
        <v>60</v>
      </c>
      <c r="B61" s="3" t="s">
        <v>9</v>
      </c>
      <c r="C61" s="3" t="s">
        <v>72</v>
      </c>
      <c r="D61" s="5" t="s">
        <v>85</v>
      </c>
      <c r="E61" s="2" t="s">
        <v>12</v>
      </c>
      <c r="F61" s="2" t="s">
        <v>13</v>
      </c>
      <c r="G61" s="2" t="s">
        <v>18</v>
      </c>
      <c r="H61" s="2" t="s">
        <v>15</v>
      </c>
      <c r="I61" s="2" t="s">
        <v>16</v>
      </c>
    </row>
    <row r="62" customFormat="false" ht="17.15" hidden="false" customHeight="false" outlineLevel="0" collapsed="false">
      <c r="A62" s="2" t="n">
        <v>61</v>
      </c>
      <c r="B62" s="3" t="s">
        <v>9</v>
      </c>
      <c r="C62" s="3" t="s">
        <v>86</v>
      </c>
      <c r="D62" s="5" t="s">
        <v>87</v>
      </c>
      <c r="E62" s="2" t="s">
        <v>60</v>
      </c>
      <c r="F62" s="2" t="s">
        <v>13</v>
      </c>
      <c r="G62" s="2" t="s">
        <v>61</v>
      </c>
      <c r="H62" s="2" t="s">
        <v>15</v>
      </c>
      <c r="I62" s="2" t="s">
        <v>16</v>
      </c>
    </row>
    <row r="63" customFormat="false" ht="17.15" hidden="false" customHeight="false" outlineLevel="0" collapsed="false">
      <c r="A63" s="2" t="n">
        <v>62</v>
      </c>
      <c r="B63" s="3" t="s">
        <v>9</v>
      </c>
      <c r="C63" s="3" t="s">
        <v>86</v>
      </c>
      <c r="D63" s="5" t="s">
        <v>88</v>
      </c>
      <c r="E63" s="2" t="s">
        <v>60</v>
      </c>
      <c r="F63" s="2" t="s">
        <v>13</v>
      </c>
      <c r="G63" s="2" t="s">
        <v>61</v>
      </c>
      <c r="H63" s="2" t="s">
        <v>15</v>
      </c>
      <c r="I63" s="2" t="s">
        <v>16</v>
      </c>
    </row>
    <row r="64" customFormat="false" ht="17.15" hidden="false" customHeight="false" outlineLevel="0" collapsed="false">
      <c r="A64" s="2" t="n">
        <v>63</v>
      </c>
      <c r="B64" s="3" t="s">
        <v>9</v>
      </c>
      <c r="C64" s="3" t="s">
        <v>86</v>
      </c>
      <c r="D64" s="5" t="s">
        <v>89</v>
      </c>
      <c r="E64" s="2" t="s">
        <v>60</v>
      </c>
      <c r="F64" s="2" t="s">
        <v>13</v>
      </c>
      <c r="G64" s="2" t="s">
        <v>61</v>
      </c>
      <c r="H64" s="2" t="s">
        <v>15</v>
      </c>
      <c r="I64" s="2" t="s">
        <v>16</v>
      </c>
    </row>
    <row r="65" customFormat="false" ht="17.15" hidden="false" customHeight="false" outlineLevel="0" collapsed="false">
      <c r="A65" s="2" t="n">
        <v>64</v>
      </c>
      <c r="B65" s="3" t="s">
        <v>9</v>
      </c>
      <c r="C65" s="3" t="s">
        <v>86</v>
      </c>
      <c r="D65" s="5" t="s">
        <v>90</v>
      </c>
      <c r="E65" s="2" t="s">
        <v>60</v>
      </c>
      <c r="F65" s="2" t="s">
        <v>13</v>
      </c>
      <c r="G65" s="2" t="s">
        <v>61</v>
      </c>
      <c r="H65" s="2" t="s">
        <v>15</v>
      </c>
      <c r="I65" s="2" t="s">
        <v>16</v>
      </c>
    </row>
    <row r="66" customFormat="false" ht="17.15" hidden="false" customHeight="false" outlineLevel="0" collapsed="false">
      <c r="A66" s="2" t="n">
        <v>65</v>
      </c>
      <c r="B66" s="3" t="s">
        <v>9</v>
      </c>
      <c r="C66" s="3" t="s">
        <v>86</v>
      </c>
      <c r="D66" s="5" t="s">
        <v>91</v>
      </c>
      <c r="E66" s="2" t="s">
        <v>60</v>
      </c>
      <c r="F66" s="2" t="s">
        <v>13</v>
      </c>
      <c r="G66" s="2" t="s">
        <v>61</v>
      </c>
      <c r="H66" s="2" t="s">
        <v>15</v>
      </c>
      <c r="I66" s="2" t="s">
        <v>16</v>
      </c>
    </row>
    <row r="67" customFormat="false" ht="17.15" hidden="false" customHeight="false" outlineLevel="0" collapsed="false">
      <c r="A67" s="2" t="n">
        <v>66</v>
      </c>
      <c r="B67" s="3" t="s">
        <v>9</v>
      </c>
      <c r="C67" s="3" t="s">
        <v>86</v>
      </c>
      <c r="D67" s="5" t="s">
        <v>92</v>
      </c>
      <c r="E67" s="2" t="s">
        <v>60</v>
      </c>
      <c r="F67" s="2" t="s">
        <v>13</v>
      </c>
      <c r="G67" s="2" t="s">
        <v>61</v>
      </c>
      <c r="H67" s="2" t="s">
        <v>15</v>
      </c>
      <c r="I67" s="2" t="s">
        <v>16</v>
      </c>
    </row>
    <row r="68" customFormat="false" ht="17.15" hidden="false" customHeight="false" outlineLevel="0" collapsed="false">
      <c r="A68" s="2" t="n">
        <v>67</v>
      </c>
      <c r="B68" s="3" t="s">
        <v>9</v>
      </c>
      <c r="C68" s="3" t="s">
        <v>86</v>
      </c>
      <c r="D68" s="5" t="s">
        <v>93</v>
      </c>
      <c r="E68" s="2" t="s">
        <v>60</v>
      </c>
      <c r="F68" s="2" t="s">
        <v>13</v>
      </c>
      <c r="G68" s="2" t="s">
        <v>61</v>
      </c>
      <c r="H68" s="2" t="s">
        <v>15</v>
      </c>
      <c r="I68" s="2" t="s">
        <v>16</v>
      </c>
    </row>
    <row r="69" customFormat="false" ht="17.15" hidden="false" customHeight="false" outlineLevel="0" collapsed="false">
      <c r="A69" s="2" t="n">
        <v>68</v>
      </c>
      <c r="B69" s="3" t="s">
        <v>9</v>
      </c>
      <c r="C69" s="3" t="s">
        <v>86</v>
      </c>
      <c r="D69" s="5" t="s">
        <v>94</v>
      </c>
      <c r="E69" s="2" t="s">
        <v>60</v>
      </c>
      <c r="F69" s="2" t="s">
        <v>13</v>
      </c>
      <c r="G69" s="2" t="s">
        <v>61</v>
      </c>
      <c r="H69" s="2" t="s">
        <v>15</v>
      </c>
      <c r="I69" s="2" t="s">
        <v>16</v>
      </c>
    </row>
    <row r="70" customFormat="false" ht="17.15" hidden="false" customHeight="false" outlineLevel="0" collapsed="false">
      <c r="A70" s="2" t="n">
        <v>69</v>
      </c>
      <c r="B70" s="3" t="s">
        <v>9</v>
      </c>
      <c r="C70" s="3" t="s">
        <v>86</v>
      </c>
      <c r="D70" s="5" t="s">
        <v>95</v>
      </c>
      <c r="E70" s="2" t="s">
        <v>60</v>
      </c>
      <c r="F70" s="2" t="s">
        <v>13</v>
      </c>
      <c r="G70" s="2" t="s">
        <v>61</v>
      </c>
      <c r="H70" s="2" t="s">
        <v>15</v>
      </c>
      <c r="I70" s="2" t="s">
        <v>16</v>
      </c>
    </row>
    <row r="71" customFormat="false" ht="17.15" hidden="false" customHeight="false" outlineLevel="0" collapsed="false">
      <c r="A71" s="2" t="n">
        <v>70</v>
      </c>
      <c r="B71" s="3" t="s">
        <v>9</v>
      </c>
      <c r="C71" s="3" t="s">
        <v>86</v>
      </c>
      <c r="D71" s="5" t="s">
        <v>96</v>
      </c>
      <c r="E71" s="2" t="s">
        <v>60</v>
      </c>
      <c r="F71" s="2" t="s">
        <v>13</v>
      </c>
      <c r="G71" s="2" t="s">
        <v>61</v>
      </c>
      <c r="H71" s="2" t="s">
        <v>15</v>
      </c>
      <c r="I71" s="2" t="s">
        <v>16</v>
      </c>
    </row>
    <row r="72" customFormat="false" ht="32.8" hidden="false" customHeight="false" outlineLevel="0" collapsed="false">
      <c r="A72" s="2" t="n">
        <v>71</v>
      </c>
      <c r="B72" s="3" t="s">
        <v>9</v>
      </c>
      <c r="C72" s="3" t="s">
        <v>86</v>
      </c>
      <c r="D72" s="5" t="s">
        <v>97</v>
      </c>
      <c r="E72" s="2" t="s">
        <v>60</v>
      </c>
      <c r="F72" s="2" t="s">
        <v>13</v>
      </c>
      <c r="G72" s="2" t="s">
        <v>61</v>
      </c>
      <c r="H72" s="2" t="s">
        <v>15</v>
      </c>
      <c r="I72" s="2" t="s">
        <v>16</v>
      </c>
    </row>
    <row r="73" customFormat="false" ht="32.8" hidden="false" customHeight="false" outlineLevel="0" collapsed="false">
      <c r="A73" s="2" t="n">
        <v>72</v>
      </c>
      <c r="B73" s="3" t="s">
        <v>9</v>
      </c>
      <c r="C73" s="3" t="s">
        <v>86</v>
      </c>
      <c r="D73" s="5" t="s">
        <v>98</v>
      </c>
      <c r="E73" s="2" t="s">
        <v>12</v>
      </c>
      <c r="F73" s="2" t="s">
        <v>13</v>
      </c>
      <c r="G73" s="2" t="s">
        <v>14</v>
      </c>
      <c r="H73" s="2" t="s">
        <v>15</v>
      </c>
      <c r="I73" s="2" t="s">
        <v>16</v>
      </c>
    </row>
    <row r="74" customFormat="false" ht="17.15" hidden="false" customHeight="false" outlineLevel="0" collapsed="false">
      <c r="A74" s="2" t="n">
        <v>73</v>
      </c>
      <c r="B74" s="3" t="s">
        <v>9</v>
      </c>
      <c r="C74" s="3" t="s">
        <v>86</v>
      </c>
      <c r="D74" s="5" t="s">
        <v>99</v>
      </c>
      <c r="E74" s="2" t="s">
        <v>60</v>
      </c>
      <c r="F74" s="2" t="s">
        <v>13</v>
      </c>
      <c r="G74" s="2" t="s">
        <v>61</v>
      </c>
      <c r="H74" s="2" t="s">
        <v>15</v>
      </c>
      <c r="I74" s="2" t="s">
        <v>16</v>
      </c>
    </row>
    <row r="75" customFormat="false" ht="32.8" hidden="false" customHeight="false" outlineLevel="0" collapsed="false">
      <c r="A75" s="2" t="n">
        <v>74</v>
      </c>
      <c r="B75" s="3" t="s">
        <v>9</v>
      </c>
      <c r="C75" s="3" t="s">
        <v>86</v>
      </c>
      <c r="D75" s="5" t="s">
        <v>100</v>
      </c>
      <c r="E75" s="2" t="s">
        <v>12</v>
      </c>
      <c r="F75" s="2" t="s">
        <v>13</v>
      </c>
      <c r="G75" s="2" t="s">
        <v>14</v>
      </c>
      <c r="H75" s="2" t="s">
        <v>15</v>
      </c>
      <c r="I75" s="2" t="s">
        <v>16</v>
      </c>
    </row>
    <row r="76" customFormat="false" ht="17.15" hidden="false" customHeight="false" outlineLevel="0" collapsed="false">
      <c r="A76" s="2" t="n">
        <v>75</v>
      </c>
      <c r="B76" s="3" t="s">
        <v>9</v>
      </c>
      <c r="C76" s="3" t="s">
        <v>86</v>
      </c>
      <c r="D76" s="5" t="s">
        <v>101</v>
      </c>
      <c r="E76" s="2" t="s">
        <v>12</v>
      </c>
      <c r="F76" s="2" t="s">
        <v>13</v>
      </c>
      <c r="G76" s="2" t="s">
        <v>14</v>
      </c>
      <c r="H76" s="2" t="s">
        <v>15</v>
      </c>
      <c r="I76" s="2" t="s">
        <v>16</v>
      </c>
    </row>
    <row r="77" customFormat="false" ht="17.15" hidden="false" customHeight="false" outlineLevel="0" collapsed="false">
      <c r="A77" s="2" t="n">
        <v>76</v>
      </c>
      <c r="B77" s="3" t="s">
        <v>9</v>
      </c>
      <c r="C77" s="3" t="s">
        <v>86</v>
      </c>
      <c r="D77" s="6" t="s">
        <v>102</v>
      </c>
      <c r="E77" s="2" t="s">
        <v>60</v>
      </c>
      <c r="F77" s="2" t="s">
        <v>13</v>
      </c>
      <c r="G77" s="2" t="s">
        <v>61</v>
      </c>
      <c r="H77" s="2" t="s">
        <v>15</v>
      </c>
      <c r="I77" s="2" t="s">
        <v>16</v>
      </c>
    </row>
    <row r="78" customFormat="false" ht="17.15" hidden="false" customHeight="false" outlineLevel="0" collapsed="false">
      <c r="A78" s="2" t="n">
        <v>77</v>
      </c>
      <c r="B78" s="3" t="s">
        <v>9</v>
      </c>
      <c r="C78" s="3" t="s">
        <v>103</v>
      </c>
      <c r="D78" s="5" t="s">
        <v>104</v>
      </c>
      <c r="E78" s="2" t="s">
        <v>12</v>
      </c>
      <c r="F78" s="2" t="s">
        <v>13</v>
      </c>
      <c r="G78" s="2" t="s">
        <v>18</v>
      </c>
      <c r="H78" s="2" t="s">
        <v>15</v>
      </c>
      <c r="I78" s="2" t="s">
        <v>16</v>
      </c>
    </row>
    <row r="79" customFormat="false" ht="17.15" hidden="false" customHeight="false" outlineLevel="0" collapsed="false">
      <c r="A79" s="2" t="n">
        <v>78</v>
      </c>
      <c r="B79" s="3" t="s">
        <v>9</v>
      </c>
      <c r="C79" s="3" t="s">
        <v>103</v>
      </c>
      <c r="D79" s="5" t="s">
        <v>105</v>
      </c>
      <c r="E79" s="2" t="s">
        <v>60</v>
      </c>
      <c r="F79" s="2" t="s">
        <v>13</v>
      </c>
      <c r="G79" s="2" t="s">
        <v>61</v>
      </c>
      <c r="H79" s="2" t="s">
        <v>15</v>
      </c>
      <c r="I79" s="2" t="s">
        <v>23</v>
      </c>
    </row>
    <row r="80" customFormat="false" ht="17.15" hidden="false" customHeight="false" outlineLevel="0" collapsed="false">
      <c r="A80" s="2" t="n">
        <v>79</v>
      </c>
      <c r="B80" s="3" t="s">
        <v>9</v>
      </c>
      <c r="C80" s="3" t="s">
        <v>103</v>
      </c>
      <c r="D80" s="5" t="s">
        <v>106</v>
      </c>
      <c r="E80" s="2" t="s">
        <v>60</v>
      </c>
      <c r="F80" s="2" t="s">
        <v>13</v>
      </c>
      <c r="G80" s="2" t="s">
        <v>61</v>
      </c>
      <c r="H80" s="2" t="s">
        <v>15</v>
      </c>
      <c r="I80" s="2" t="s">
        <v>107</v>
      </c>
    </row>
    <row r="81" customFormat="false" ht="17.15" hidden="false" customHeight="false" outlineLevel="0" collapsed="false">
      <c r="A81" s="2" t="n">
        <v>80</v>
      </c>
      <c r="B81" s="3" t="s">
        <v>9</v>
      </c>
      <c r="C81" s="3" t="s">
        <v>103</v>
      </c>
      <c r="D81" s="5" t="s">
        <v>108</v>
      </c>
      <c r="E81" s="2" t="s">
        <v>12</v>
      </c>
      <c r="F81" s="2" t="s">
        <v>13</v>
      </c>
      <c r="G81" s="2" t="s">
        <v>18</v>
      </c>
      <c r="H81" s="2" t="s">
        <v>15</v>
      </c>
      <c r="I81" s="2" t="s">
        <v>16</v>
      </c>
    </row>
    <row r="82" customFormat="false" ht="17.15" hidden="false" customHeight="false" outlineLevel="0" collapsed="false">
      <c r="A82" s="2" t="n">
        <v>81</v>
      </c>
      <c r="B82" s="3" t="s">
        <v>9</v>
      </c>
      <c r="C82" s="3" t="s">
        <v>103</v>
      </c>
      <c r="D82" s="5" t="s">
        <v>109</v>
      </c>
      <c r="E82" s="2" t="s">
        <v>12</v>
      </c>
      <c r="F82" s="2" t="s">
        <v>13</v>
      </c>
      <c r="G82" s="2" t="s">
        <v>18</v>
      </c>
      <c r="H82" s="2" t="s">
        <v>15</v>
      </c>
      <c r="I82" s="2" t="s">
        <v>16</v>
      </c>
    </row>
    <row r="83" customFormat="false" ht="17.15" hidden="false" customHeight="false" outlineLevel="0" collapsed="false">
      <c r="A83" s="2" t="n">
        <v>82</v>
      </c>
      <c r="B83" s="3" t="s">
        <v>9</v>
      </c>
      <c r="C83" s="3" t="s">
        <v>103</v>
      </c>
      <c r="D83" s="5" t="s">
        <v>110</v>
      </c>
      <c r="E83" s="2" t="s">
        <v>12</v>
      </c>
      <c r="F83" s="2" t="s">
        <v>13</v>
      </c>
      <c r="G83" s="2" t="s">
        <v>18</v>
      </c>
      <c r="H83" s="2" t="s">
        <v>15</v>
      </c>
      <c r="I83" s="2" t="s">
        <v>16</v>
      </c>
    </row>
    <row r="84" customFormat="false" ht="17.15" hidden="false" customHeight="false" outlineLevel="0" collapsed="false">
      <c r="A84" s="2" t="n">
        <v>83</v>
      </c>
      <c r="B84" s="3" t="s">
        <v>9</v>
      </c>
      <c r="C84" s="3" t="s">
        <v>103</v>
      </c>
      <c r="D84" s="5" t="s">
        <v>111</v>
      </c>
      <c r="E84" s="2" t="s">
        <v>60</v>
      </c>
      <c r="F84" s="2" t="s">
        <v>13</v>
      </c>
      <c r="G84" s="2" t="s">
        <v>61</v>
      </c>
      <c r="H84" s="2" t="s">
        <v>15</v>
      </c>
      <c r="I84" s="2" t="s">
        <v>112</v>
      </c>
    </row>
    <row r="85" customFormat="false" ht="17.15" hidden="false" customHeight="false" outlineLevel="0" collapsed="false">
      <c r="A85" s="2" t="n">
        <v>84</v>
      </c>
      <c r="B85" s="3" t="s">
        <v>9</v>
      </c>
      <c r="C85" s="3" t="s">
        <v>103</v>
      </c>
      <c r="D85" s="5" t="s">
        <v>113</v>
      </c>
      <c r="E85" s="2" t="s">
        <v>12</v>
      </c>
      <c r="F85" s="2" t="s">
        <v>13</v>
      </c>
      <c r="G85" s="2" t="s">
        <v>14</v>
      </c>
      <c r="H85" s="2" t="s">
        <v>15</v>
      </c>
      <c r="I85" s="2" t="s">
        <v>16</v>
      </c>
    </row>
    <row r="86" customFormat="false" ht="17.15" hidden="false" customHeight="false" outlineLevel="0" collapsed="false">
      <c r="A86" s="2" t="n">
        <v>85</v>
      </c>
      <c r="B86" s="3" t="s">
        <v>9</v>
      </c>
      <c r="C86" s="3" t="s">
        <v>103</v>
      </c>
      <c r="D86" s="5" t="s">
        <v>114</v>
      </c>
      <c r="E86" s="2" t="s">
        <v>12</v>
      </c>
      <c r="F86" s="2" t="s">
        <v>13</v>
      </c>
      <c r="G86" s="2" t="s">
        <v>14</v>
      </c>
      <c r="H86" s="2" t="s">
        <v>15</v>
      </c>
      <c r="I86" s="2" t="s">
        <v>107</v>
      </c>
    </row>
    <row r="87" customFormat="false" ht="17.15" hidden="false" customHeight="false" outlineLevel="0" collapsed="false">
      <c r="A87" s="2" t="n">
        <v>86</v>
      </c>
      <c r="B87" s="3" t="s">
        <v>9</v>
      </c>
      <c r="C87" s="3" t="s">
        <v>103</v>
      </c>
      <c r="D87" s="5" t="s">
        <v>115</v>
      </c>
      <c r="E87" s="2" t="s">
        <v>12</v>
      </c>
      <c r="F87" s="2" t="s">
        <v>13</v>
      </c>
      <c r="G87" s="2" t="s">
        <v>18</v>
      </c>
      <c r="H87" s="2" t="s">
        <v>15</v>
      </c>
      <c r="I87" s="2" t="s">
        <v>16</v>
      </c>
    </row>
    <row r="88" customFormat="false" ht="17.15" hidden="false" customHeight="false" outlineLevel="0" collapsed="false">
      <c r="A88" s="2" t="n">
        <v>87</v>
      </c>
      <c r="B88" s="3" t="s">
        <v>9</v>
      </c>
      <c r="C88" s="3" t="s">
        <v>103</v>
      </c>
      <c r="D88" s="5" t="s">
        <v>116</v>
      </c>
      <c r="E88" s="2" t="s">
        <v>12</v>
      </c>
      <c r="F88" s="2" t="s">
        <v>13</v>
      </c>
      <c r="G88" s="2" t="s">
        <v>14</v>
      </c>
      <c r="H88" s="2" t="s">
        <v>15</v>
      </c>
      <c r="I88" s="2" t="s">
        <v>23</v>
      </c>
    </row>
    <row r="89" customFormat="false" ht="17.15" hidden="false" customHeight="false" outlineLevel="0" collapsed="false">
      <c r="A89" s="2" t="n">
        <v>88</v>
      </c>
      <c r="B89" s="3" t="s">
        <v>9</v>
      </c>
      <c r="C89" s="3" t="s">
        <v>103</v>
      </c>
      <c r="D89" s="5" t="s">
        <v>117</v>
      </c>
      <c r="E89" s="2" t="s">
        <v>12</v>
      </c>
      <c r="F89" s="2" t="s">
        <v>13</v>
      </c>
      <c r="G89" s="2" t="s">
        <v>18</v>
      </c>
      <c r="H89" s="2" t="s">
        <v>15</v>
      </c>
      <c r="I89" s="2" t="s">
        <v>16</v>
      </c>
    </row>
    <row r="90" customFormat="false" ht="32.8" hidden="false" customHeight="false" outlineLevel="0" collapsed="false">
      <c r="A90" s="2" t="n">
        <v>89</v>
      </c>
      <c r="B90" s="3" t="s">
        <v>9</v>
      </c>
      <c r="C90" s="3" t="s">
        <v>118</v>
      </c>
      <c r="D90" s="5" t="s">
        <v>119</v>
      </c>
      <c r="E90" s="2" t="s">
        <v>60</v>
      </c>
      <c r="F90" s="2" t="s">
        <v>13</v>
      </c>
      <c r="G90" s="2" t="s">
        <v>61</v>
      </c>
      <c r="H90" s="2" t="s">
        <v>15</v>
      </c>
      <c r="I90" s="2" t="s">
        <v>120</v>
      </c>
    </row>
    <row r="91" customFormat="false" ht="17.15" hidden="false" customHeight="false" outlineLevel="0" collapsed="false">
      <c r="A91" s="2" t="n">
        <v>90</v>
      </c>
      <c r="B91" s="3" t="s">
        <v>9</v>
      </c>
      <c r="C91" s="3" t="s">
        <v>118</v>
      </c>
      <c r="D91" s="5" t="s">
        <v>121</v>
      </c>
      <c r="E91" s="2" t="s">
        <v>12</v>
      </c>
      <c r="F91" s="2" t="s">
        <v>13</v>
      </c>
      <c r="G91" s="2" t="s">
        <v>14</v>
      </c>
      <c r="H91" s="2" t="s">
        <v>15</v>
      </c>
      <c r="I91" s="2" t="s">
        <v>16</v>
      </c>
    </row>
    <row r="92" customFormat="false" ht="17.15" hidden="false" customHeight="false" outlineLevel="0" collapsed="false">
      <c r="A92" s="2" t="n">
        <v>91</v>
      </c>
      <c r="B92" s="3" t="s">
        <v>9</v>
      </c>
      <c r="C92" s="3" t="s">
        <v>118</v>
      </c>
      <c r="D92" s="5" t="s">
        <v>122</v>
      </c>
      <c r="E92" s="2" t="s">
        <v>12</v>
      </c>
      <c r="F92" s="2" t="s">
        <v>13</v>
      </c>
      <c r="G92" s="2" t="s">
        <v>14</v>
      </c>
      <c r="H92" s="2" t="s">
        <v>15</v>
      </c>
      <c r="I92" s="2" t="s">
        <v>16</v>
      </c>
    </row>
    <row r="93" customFormat="false" ht="17.15" hidden="false" customHeight="false" outlineLevel="0" collapsed="false">
      <c r="A93" s="2" t="n">
        <v>92</v>
      </c>
      <c r="B93" s="3" t="s">
        <v>9</v>
      </c>
      <c r="C93" s="3" t="s">
        <v>118</v>
      </c>
      <c r="D93" s="5" t="s">
        <v>123</v>
      </c>
      <c r="E93" s="2" t="s">
        <v>12</v>
      </c>
      <c r="F93" s="2" t="s">
        <v>13</v>
      </c>
      <c r="G93" s="2" t="s">
        <v>14</v>
      </c>
      <c r="H93" s="2" t="s">
        <v>15</v>
      </c>
      <c r="I93" s="2" t="s">
        <v>120</v>
      </c>
    </row>
    <row r="94" customFormat="false" ht="17.15" hidden="false" customHeight="false" outlineLevel="0" collapsed="false">
      <c r="A94" s="2" t="n">
        <v>93</v>
      </c>
      <c r="B94" s="3" t="s">
        <v>9</v>
      </c>
      <c r="C94" s="3" t="s">
        <v>118</v>
      </c>
      <c r="D94" s="5" t="s">
        <v>124</v>
      </c>
      <c r="E94" s="2" t="s">
        <v>12</v>
      </c>
      <c r="F94" s="2" t="s">
        <v>13</v>
      </c>
      <c r="G94" s="2" t="s">
        <v>14</v>
      </c>
      <c r="H94" s="2" t="s">
        <v>15</v>
      </c>
      <c r="I94" s="2" t="s">
        <v>16</v>
      </c>
    </row>
    <row r="95" customFormat="false" ht="17.15" hidden="false" customHeight="false" outlineLevel="0" collapsed="false">
      <c r="A95" s="2" t="n">
        <v>94</v>
      </c>
      <c r="B95" s="3" t="s">
        <v>9</v>
      </c>
      <c r="C95" s="3" t="s">
        <v>118</v>
      </c>
      <c r="D95" s="5" t="s">
        <v>125</v>
      </c>
      <c r="E95" s="2" t="s">
        <v>12</v>
      </c>
      <c r="F95" s="2" t="s">
        <v>13</v>
      </c>
      <c r="G95" s="2" t="s">
        <v>14</v>
      </c>
      <c r="H95" s="2" t="s">
        <v>15</v>
      </c>
      <c r="I95" s="2" t="s">
        <v>126</v>
      </c>
    </row>
    <row r="96" customFormat="false" ht="17.15" hidden="false" customHeight="false" outlineLevel="0" collapsed="false">
      <c r="A96" s="2" t="n">
        <v>95</v>
      </c>
      <c r="B96" s="3" t="s">
        <v>9</v>
      </c>
      <c r="C96" s="3" t="s">
        <v>118</v>
      </c>
      <c r="D96" s="5" t="s">
        <v>127</v>
      </c>
      <c r="E96" s="2" t="s">
        <v>12</v>
      </c>
      <c r="F96" s="2" t="s">
        <v>13</v>
      </c>
      <c r="G96" s="2" t="s">
        <v>14</v>
      </c>
      <c r="H96" s="2" t="s">
        <v>15</v>
      </c>
      <c r="I96" s="2" t="s">
        <v>23</v>
      </c>
    </row>
    <row r="97" customFormat="false" ht="17.15" hidden="false" customHeight="false" outlineLevel="0" collapsed="false">
      <c r="A97" s="2" t="n">
        <v>96</v>
      </c>
      <c r="B97" s="3" t="s">
        <v>9</v>
      </c>
      <c r="C97" s="3" t="s">
        <v>118</v>
      </c>
      <c r="D97" s="5" t="s">
        <v>128</v>
      </c>
      <c r="E97" s="2" t="s">
        <v>12</v>
      </c>
      <c r="F97" s="2" t="s">
        <v>13</v>
      </c>
      <c r="G97" s="2" t="s">
        <v>14</v>
      </c>
      <c r="H97" s="2" t="s">
        <v>15</v>
      </c>
      <c r="I97" s="2" t="s">
        <v>16</v>
      </c>
    </row>
    <row r="98" customFormat="false" ht="17.15" hidden="false" customHeight="false" outlineLevel="0" collapsed="false">
      <c r="A98" s="2" t="n">
        <v>97</v>
      </c>
      <c r="B98" s="3" t="s">
        <v>9</v>
      </c>
      <c r="C98" s="3" t="s">
        <v>118</v>
      </c>
      <c r="D98" s="5" t="s">
        <v>129</v>
      </c>
      <c r="E98" s="2" t="s">
        <v>12</v>
      </c>
      <c r="F98" s="2" t="s">
        <v>13</v>
      </c>
      <c r="G98" s="2" t="s">
        <v>14</v>
      </c>
      <c r="H98" s="2" t="s">
        <v>15</v>
      </c>
      <c r="I98" s="2" t="s">
        <v>16</v>
      </c>
    </row>
    <row r="99" customFormat="false" ht="32.8" hidden="false" customHeight="false" outlineLevel="0" collapsed="false">
      <c r="A99" s="2" t="n">
        <v>98</v>
      </c>
      <c r="B99" s="3" t="s">
        <v>9</v>
      </c>
      <c r="C99" s="3" t="s">
        <v>118</v>
      </c>
      <c r="D99" s="5" t="s">
        <v>130</v>
      </c>
      <c r="E99" s="2" t="s">
        <v>12</v>
      </c>
      <c r="F99" s="2" t="s">
        <v>13</v>
      </c>
      <c r="G99" s="2" t="s">
        <v>14</v>
      </c>
      <c r="H99" s="2" t="s">
        <v>15</v>
      </c>
      <c r="I99" s="2" t="s">
        <v>131</v>
      </c>
    </row>
    <row r="100" customFormat="false" ht="17.15" hidden="false" customHeight="false" outlineLevel="0" collapsed="false">
      <c r="A100" s="2" t="n">
        <v>99</v>
      </c>
      <c r="B100" s="3" t="s">
        <v>9</v>
      </c>
      <c r="C100" s="3" t="s">
        <v>118</v>
      </c>
      <c r="D100" s="5" t="s">
        <v>132</v>
      </c>
      <c r="E100" s="2" t="s">
        <v>12</v>
      </c>
      <c r="F100" s="2" t="s">
        <v>13</v>
      </c>
      <c r="G100" s="2" t="s">
        <v>14</v>
      </c>
      <c r="H100" s="2" t="s">
        <v>15</v>
      </c>
      <c r="I100" s="2" t="s">
        <v>16</v>
      </c>
    </row>
    <row r="101" customFormat="false" ht="32.8" hidden="false" customHeight="false" outlineLevel="0" collapsed="false">
      <c r="A101" s="2" t="n">
        <v>100</v>
      </c>
      <c r="B101" s="3" t="s">
        <v>9</v>
      </c>
      <c r="C101" s="3" t="s">
        <v>118</v>
      </c>
      <c r="D101" s="5" t="s">
        <v>133</v>
      </c>
      <c r="E101" s="2" t="s">
        <v>12</v>
      </c>
      <c r="F101" s="2" t="s">
        <v>13</v>
      </c>
      <c r="G101" s="2" t="s">
        <v>14</v>
      </c>
      <c r="H101" s="2" t="s">
        <v>15</v>
      </c>
      <c r="I101" s="2" t="s">
        <v>16</v>
      </c>
    </row>
    <row r="102" customFormat="false" ht="17.15" hidden="false" customHeight="false" outlineLevel="0" collapsed="false">
      <c r="A102" s="2" t="n">
        <v>101</v>
      </c>
      <c r="B102" s="3" t="s">
        <v>9</v>
      </c>
      <c r="C102" s="3" t="s">
        <v>134</v>
      </c>
      <c r="D102" s="5" t="s">
        <v>135</v>
      </c>
      <c r="E102" s="2" t="s">
        <v>12</v>
      </c>
      <c r="F102" s="2" t="s">
        <v>13</v>
      </c>
      <c r="G102" s="2" t="s">
        <v>14</v>
      </c>
      <c r="H102" s="2" t="s">
        <v>136</v>
      </c>
      <c r="I102" s="2" t="s">
        <v>16</v>
      </c>
    </row>
    <row r="103" customFormat="false" ht="17.15" hidden="false" customHeight="false" outlineLevel="0" collapsed="false">
      <c r="A103" s="2" t="n">
        <v>102</v>
      </c>
      <c r="B103" s="3" t="s">
        <v>9</v>
      </c>
      <c r="C103" s="3" t="s">
        <v>134</v>
      </c>
      <c r="D103" s="5" t="s">
        <v>137</v>
      </c>
      <c r="E103" s="2" t="s">
        <v>12</v>
      </c>
      <c r="F103" s="2" t="s">
        <v>13</v>
      </c>
      <c r="G103" s="2" t="s">
        <v>18</v>
      </c>
      <c r="H103" s="2" t="s">
        <v>136</v>
      </c>
      <c r="I103" s="2" t="s">
        <v>16</v>
      </c>
    </row>
    <row r="104" customFormat="false" ht="17.15" hidden="false" customHeight="false" outlineLevel="0" collapsed="false">
      <c r="A104" s="2" t="n">
        <v>103</v>
      </c>
      <c r="B104" s="3" t="s">
        <v>9</v>
      </c>
      <c r="C104" s="3" t="s">
        <v>134</v>
      </c>
      <c r="D104" s="5" t="s">
        <v>138</v>
      </c>
      <c r="E104" s="2" t="s">
        <v>12</v>
      </c>
      <c r="F104" s="2" t="s">
        <v>13</v>
      </c>
      <c r="G104" s="2" t="s">
        <v>18</v>
      </c>
      <c r="H104" s="2" t="s">
        <v>136</v>
      </c>
      <c r="I104" s="2" t="s">
        <v>16</v>
      </c>
    </row>
    <row r="105" customFormat="false" ht="17.15" hidden="false" customHeight="false" outlineLevel="0" collapsed="false">
      <c r="A105" s="2" t="n">
        <v>104</v>
      </c>
      <c r="B105" s="3" t="s">
        <v>9</v>
      </c>
      <c r="C105" s="3" t="s">
        <v>134</v>
      </c>
      <c r="D105" s="5" t="s">
        <v>139</v>
      </c>
      <c r="E105" s="2" t="s">
        <v>12</v>
      </c>
      <c r="F105" s="2" t="s">
        <v>13</v>
      </c>
      <c r="G105" s="2" t="s">
        <v>18</v>
      </c>
      <c r="H105" s="2" t="s">
        <v>136</v>
      </c>
      <c r="I105" s="2" t="s">
        <v>16</v>
      </c>
    </row>
    <row r="106" customFormat="false" ht="17.15" hidden="false" customHeight="false" outlineLevel="0" collapsed="false">
      <c r="A106" s="2" t="n">
        <v>105</v>
      </c>
      <c r="B106" s="3" t="s">
        <v>9</v>
      </c>
      <c r="C106" s="3" t="s">
        <v>134</v>
      </c>
      <c r="D106" s="5" t="s">
        <v>140</v>
      </c>
      <c r="E106" s="2" t="s">
        <v>12</v>
      </c>
      <c r="F106" s="2" t="s">
        <v>13</v>
      </c>
      <c r="G106" s="2" t="s">
        <v>18</v>
      </c>
      <c r="H106" s="2" t="s">
        <v>136</v>
      </c>
      <c r="I106" s="2" t="s">
        <v>16</v>
      </c>
    </row>
    <row r="107" customFormat="false" ht="17.15" hidden="false" customHeight="false" outlineLevel="0" collapsed="false">
      <c r="A107" s="2" t="n">
        <v>106</v>
      </c>
      <c r="B107" s="3" t="s">
        <v>9</v>
      </c>
      <c r="C107" s="3" t="s">
        <v>134</v>
      </c>
      <c r="D107" s="5" t="s">
        <v>141</v>
      </c>
      <c r="E107" s="2" t="s">
        <v>12</v>
      </c>
      <c r="F107" s="2" t="s">
        <v>13</v>
      </c>
      <c r="G107" s="2" t="s">
        <v>18</v>
      </c>
      <c r="H107" s="2" t="s">
        <v>136</v>
      </c>
      <c r="I107" s="2" t="s">
        <v>16</v>
      </c>
    </row>
    <row r="108" customFormat="false" ht="17.15" hidden="false" customHeight="false" outlineLevel="0" collapsed="false">
      <c r="A108" s="2" t="n">
        <v>107</v>
      </c>
      <c r="B108" s="3" t="s">
        <v>9</v>
      </c>
      <c r="C108" s="3" t="s">
        <v>142</v>
      </c>
      <c r="D108" s="5" t="s">
        <v>143</v>
      </c>
      <c r="E108" s="2" t="s">
        <v>12</v>
      </c>
      <c r="F108" s="2" t="s">
        <v>13</v>
      </c>
      <c r="G108" s="2" t="s">
        <v>18</v>
      </c>
      <c r="H108" s="2" t="s">
        <v>136</v>
      </c>
      <c r="I108" s="2" t="s">
        <v>16</v>
      </c>
    </row>
    <row r="109" customFormat="false" ht="17.15" hidden="false" customHeight="false" outlineLevel="0" collapsed="false">
      <c r="A109" s="2" t="n">
        <v>108</v>
      </c>
      <c r="B109" s="3" t="s">
        <v>9</v>
      </c>
      <c r="C109" s="3" t="s">
        <v>142</v>
      </c>
      <c r="D109" s="5" t="s">
        <v>144</v>
      </c>
      <c r="E109" s="2" t="s">
        <v>12</v>
      </c>
      <c r="F109" s="2" t="s">
        <v>13</v>
      </c>
      <c r="G109" s="2" t="s">
        <v>18</v>
      </c>
      <c r="H109" s="2" t="s">
        <v>136</v>
      </c>
      <c r="I109" s="2" t="s">
        <v>16</v>
      </c>
    </row>
    <row r="110" customFormat="false" ht="17.15" hidden="false" customHeight="false" outlineLevel="0" collapsed="false">
      <c r="A110" s="2" t="n">
        <v>109</v>
      </c>
      <c r="B110" s="3" t="s">
        <v>9</v>
      </c>
      <c r="C110" s="3" t="s">
        <v>142</v>
      </c>
      <c r="D110" s="5" t="s">
        <v>145</v>
      </c>
      <c r="E110" s="2" t="s">
        <v>12</v>
      </c>
      <c r="F110" s="2" t="s">
        <v>13</v>
      </c>
      <c r="G110" s="2" t="s">
        <v>18</v>
      </c>
      <c r="H110" s="2" t="s">
        <v>136</v>
      </c>
      <c r="I110" s="2" t="s">
        <v>16</v>
      </c>
    </row>
    <row r="111" customFormat="false" ht="17.15" hidden="false" customHeight="false" outlineLevel="0" collapsed="false">
      <c r="A111" s="2" t="n">
        <v>110</v>
      </c>
      <c r="B111" s="3" t="s">
        <v>9</v>
      </c>
      <c r="C111" s="3" t="s">
        <v>142</v>
      </c>
      <c r="D111" s="5" t="s">
        <v>146</v>
      </c>
      <c r="E111" s="2" t="s">
        <v>12</v>
      </c>
      <c r="F111" s="2" t="s">
        <v>13</v>
      </c>
      <c r="G111" s="2" t="s">
        <v>18</v>
      </c>
      <c r="H111" s="2" t="s">
        <v>136</v>
      </c>
      <c r="I111" s="2" t="s">
        <v>16</v>
      </c>
    </row>
    <row r="112" customFormat="false" ht="17.15" hidden="false" customHeight="false" outlineLevel="0" collapsed="false">
      <c r="A112" s="2" t="n">
        <v>111</v>
      </c>
      <c r="B112" s="3" t="s">
        <v>9</v>
      </c>
      <c r="C112" s="3" t="s">
        <v>142</v>
      </c>
      <c r="D112" s="5" t="s">
        <v>147</v>
      </c>
      <c r="E112" s="2" t="s">
        <v>12</v>
      </c>
      <c r="F112" s="2" t="s">
        <v>13</v>
      </c>
      <c r="G112" s="2" t="s">
        <v>18</v>
      </c>
      <c r="H112" s="2" t="s">
        <v>136</v>
      </c>
      <c r="I112" s="2" t="s">
        <v>16</v>
      </c>
    </row>
    <row r="113" customFormat="false" ht="17.15" hidden="false" customHeight="false" outlineLevel="0" collapsed="false">
      <c r="A113" s="2" t="n">
        <v>112</v>
      </c>
      <c r="B113" s="3" t="s">
        <v>9</v>
      </c>
      <c r="C113" s="3" t="s">
        <v>142</v>
      </c>
      <c r="D113" s="5" t="s">
        <v>148</v>
      </c>
      <c r="E113" s="2" t="s">
        <v>12</v>
      </c>
      <c r="F113" s="2" t="s">
        <v>13</v>
      </c>
      <c r="G113" s="2" t="s">
        <v>18</v>
      </c>
      <c r="H113" s="2" t="s">
        <v>136</v>
      </c>
      <c r="I113" s="2" t="s">
        <v>16</v>
      </c>
    </row>
    <row r="114" customFormat="false" ht="17.15" hidden="false" customHeight="false" outlineLevel="0" collapsed="false">
      <c r="A114" s="2" t="n">
        <v>113</v>
      </c>
      <c r="B114" s="3" t="s">
        <v>9</v>
      </c>
      <c r="C114" s="3" t="s">
        <v>149</v>
      </c>
      <c r="D114" s="5" t="s">
        <v>150</v>
      </c>
      <c r="E114" s="2" t="s">
        <v>12</v>
      </c>
      <c r="F114" s="2" t="s">
        <v>13</v>
      </c>
      <c r="G114" s="2" t="s">
        <v>18</v>
      </c>
      <c r="H114" s="2" t="s">
        <v>136</v>
      </c>
      <c r="I114" s="2" t="s">
        <v>16</v>
      </c>
    </row>
    <row r="115" customFormat="false" ht="17.15" hidden="false" customHeight="false" outlineLevel="0" collapsed="false">
      <c r="A115" s="2" t="n">
        <v>114</v>
      </c>
      <c r="B115" s="3" t="s">
        <v>9</v>
      </c>
      <c r="C115" s="3" t="s">
        <v>149</v>
      </c>
      <c r="D115" s="5" t="s">
        <v>151</v>
      </c>
      <c r="E115" s="2" t="s">
        <v>12</v>
      </c>
      <c r="F115" s="2" t="s">
        <v>13</v>
      </c>
      <c r="G115" s="2" t="s">
        <v>18</v>
      </c>
      <c r="H115" s="2" t="s">
        <v>136</v>
      </c>
      <c r="I115" s="2" t="s">
        <v>16</v>
      </c>
    </row>
    <row r="116" customFormat="false" ht="17.15" hidden="false" customHeight="false" outlineLevel="0" collapsed="false">
      <c r="A116" s="2" t="n">
        <v>115</v>
      </c>
      <c r="B116" s="3" t="s">
        <v>9</v>
      </c>
      <c r="C116" s="3" t="s">
        <v>149</v>
      </c>
      <c r="D116" s="5" t="s">
        <v>152</v>
      </c>
      <c r="E116" s="2" t="s">
        <v>12</v>
      </c>
      <c r="F116" s="2" t="s">
        <v>13</v>
      </c>
      <c r="G116" s="2" t="s">
        <v>18</v>
      </c>
      <c r="H116" s="2" t="s">
        <v>136</v>
      </c>
      <c r="I116" s="2" t="s">
        <v>16</v>
      </c>
    </row>
    <row r="117" customFormat="false" ht="17.15" hidden="false" customHeight="false" outlineLevel="0" collapsed="false">
      <c r="A117" s="2" t="n">
        <v>116</v>
      </c>
      <c r="B117" s="3" t="s">
        <v>9</v>
      </c>
      <c r="C117" s="3" t="s">
        <v>149</v>
      </c>
      <c r="D117" s="5" t="s">
        <v>153</v>
      </c>
      <c r="E117" s="2" t="s">
        <v>12</v>
      </c>
      <c r="F117" s="2" t="s">
        <v>13</v>
      </c>
      <c r="G117" s="2" t="s">
        <v>18</v>
      </c>
      <c r="H117" s="2" t="s">
        <v>136</v>
      </c>
      <c r="I117" s="2" t="s">
        <v>16</v>
      </c>
    </row>
    <row r="118" customFormat="false" ht="17.15" hidden="false" customHeight="false" outlineLevel="0" collapsed="false">
      <c r="A118" s="2" t="n">
        <v>117</v>
      </c>
      <c r="B118" s="3" t="s">
        <v>9</v>
      </c>
      <c r="C118" s="3" t="s">
        <v>149</v>
      </c>
      <c r="D118" s="5" t="s">
        <v>154</v>
      </c>
      <c r="E118" s="2" t="s">
        <v>12</v>
      </c>
      <c r="F118" s="2" t="s">
        <v>13</v>
      </c>
      <c r="G118" s="2" t="s">
        <v>18</v>
      </c>
      <c r="H118" s="2" t="s">
        <v>136</v>
      </c>
      <c r="I118" s="2" t="s">
        <v>16</v>
      </c>
    </row>
    <row r="119" customFormat="false" ht="17.15" hidden="false" customHeight="false" outlineLevel="0" collapsed="false">
      <c r="A119" s="2" t="n">
        <v>118</v>
      </c>
      <c r="B119" s="3" t="s">
        <v>9</v>
      </c>
      <c r="C119" s="3" t="s">
        <v>149</v>
      </c>
      <c r="D119" s="5" t="s">
        <v>155</v>
      </c>
      <c r="E119" s="2" t="s">
        <v>12</v>
      </c>
      <c r="F119" s="2" t="s">
        <v>13</v>
      </c>
      <c r="G119" s="2" t="s">
        <v>18</v>
      </c>
      <c r="H119" s="2" t="s">
        <v>136</v>
      </c>
      <c r="I119" s="2" t="s">
        <v>16</v>
      </c>
    </row>
    <row r="120" customFormat="false" ht="17.15" hidden="false" customHeight="false" outlineLevel="0" collapsed="false">
      <c r="A120" s="2" t="n">
        <v>119</v>
      </c>
      <c r="B120" s="3" t="s">
        <v>9</v>
      </c>
      <c r="C120" s="3" t="s">
        <v>149</v>
      </c>
      <c r="D120" s="5" t="s">
        <v>156</v>
      </c>
      <c r="E120" s="2" t="s">
        <v>60</v>
      </c>
      <c r="F120" s="2" t="s">
        <v>13</v>
      </c>
      <c r="G120" s="2" t="s">
        <v>61</v>
      </c>
      <c r="H120" s="2" t="s">
        <v>136</v>
      </c>
      <c r="I120" s="2" t="s">
        <v>16</v>
      </c>
    </row>
    <row r="121" customFormat="false" ht="17.15" hidden="false" customHeight="false" outlineLevel="0" collapsed="false">
      <c r="A121" s="2" t="n">
        <v>120</v>
      </c>
      <c r="B121" s="3" t="s">
        <v>9</v>
      </c>
      <c r="C121" s="3" t="s">
        <v>149</v>
      </c>
      <c r="D121" s="5" t="s">
        <v>157</v>
      </c>
      <c r="E121" s="2" t="s">
        <v>12</v>
      </c>
      <c r="F121" s="2" t="s">
        <v>13</v>
      </c>
      <c r="G121" s="2" t="s">
        <v>18</v>
      </c>
      <c r="H121" s="2" t="s">
        <v>136</v>
      </c>
      <c r="I121" s="2" t="s">
        <v>16</v>
      </c>
    </row>
    <row r="122" customFormat="false" ht="17.15" hidden="false" customHeight="false" outlineLevel="0" collapsed="false">
      <c r="A122" s="2" t="n">
        <v>121</v>
      </c>
      <c r="B122" s="3" t="s">
        <v>9</v>
      </c>
      <c r="C122" s="3" t="s">
        <v>158</v>
      </c>
      <c r="D122" s="5" t="s">
        <v>159</v>
      </c>
      <c r="E122" s="2" t="s">
        <v>12</v>
      </c>
      <c r="F122" s="2" t="s">
        <v>13</v>
      </c>
      <c r="G122" s="2" t="s">
        <v>18</v>
      </c>
      <c r="H122" s="2" t="s">
        <v>136</v>
      </c>
      <c r="I122" s="2" t="s">
        <v>16</v>
      </c>
    </row>
    <row r="123" customFormat="false" ht="17.15" hidden="false" customHeight="false" outlineLevel="0" collapsed="false">
      <c r="A123" s="2" t="n">
        <v>122</v>
      </c>
      <c r="B123" s="3" t="s">
        <v>9</v>
      </c>
      <c r="C123" s="3" t="s">
        <v>158</v>
      </c>
      <c r="D123" s="6" t="s">
        <v>160</v>
      </c>
      <c r="E123" s="2" t="s">
        <v>12</v>
      </c>
      <c r="F123" s="2" t="s">
        <v>13</v>
      </c>
      <c r="G123" s="2" t="s">
        <v>18</v>
      </c>
      <c r="H123" s="2" t="s">
        <v>136</v>
      </c>
      <c r="I123" s="2" t="s">
        <v>16</v>
      </c>
    </row>
    <row r="124" customFormat="false" ht="17.15" hidden="false" customHeight="false" outlineLevel="0" collapsed="false">
      <c r="A124" s="2" t="n">
        <v>123</v>
      </c>
      <c r="B124" s="3" t="s">
        <v>9</v>
      </c>
      <c r="C124" s="3" t="s">
        <v>158</v>
      </c>
      <c r="D124" s="5" t="s">
        <v>161</v>
      </c>
      <c r="E124" s="2" t="s">
        <v>12</v>
      </c>
      <c r="F124" s="2" t="s">
        <v>13</v>
      </c>
      <c r="G124" s="2" t="s">
        <v>18</v>
      </c>
      <c r="H124" s="2" t="s">
        <v>136</v>
      </c>
      <c r="I124" s="2" t="s">
        <v>16</v>
      </c>
    </row>
    <row r="125" customFormat="false" ht="17.15" hidden="false" customHeight="false" outlineLevel="0" collapsed="false">
      <c r="A125" s="2" t="n">
        <v>124</v>
      </c>
      <c r="B125" s="3" t="s">
        <v>9</v>
      </c>
      <c r="C125" s="3" t="s">
        <v>158</v>
      </c>
      <c r="D125" s="5" t="s">
        <v>162</v>
      </c>
      <c r="E125" s="2" t="s">
        <v>60</v>
      </c>
      <c r="F125" s="2" t="s">
        <v>13</v>
      </c>
      <c r="G125" s="2" t="s">
        <v>18</v>
      </c>
      <c r="H125" s="2" t="s">
        <v>136</v>
      </c>
      <c r="I125" s="2" t="s">
        <v>16</v>
      </c>
    </row>
    <row r="126" customFormat="false" ht="17.15" hidden="false" customHeight="false" outlineLevel="0" collapsed="false">
      <c r="A126" s="2" t="n">
        <v>125</v>
      </c>
      <c r="B126" s="3" t="s">
        <v>9</v>
      </c>
      <c r="C126" s="3" t="s">
        <v>158</v>
      </c>
      <c r="D126" s="5" t="s">
        <v>163</v>
      </c>
      <c r="E126" s="2" t="s">
        <v>12</v>
      </c>
      <c r="F126" s="2" t="s">
        <v>13</v>
      </c>
      <c r="G126" s="2" t="s">
        <v>14</v>
      </c>
      <c r="H126" s="2" t="s">
        <v>136</v>
      </c>
      <c r="I126" s="2" t="s">
        <v>16</v>
      </c>
    </row>
    <row r="127" customFormat="false" ht="32.8" hidden="false" customHeight="false" outlineLevel="0" collapsed="false">
      <c r="A127" s="2" t="n">
        <v>126</v>
      </c>
      <c r="B127" s="3" t="s">
        <v>9</v>
      </c>
      <c r="C127" s="3" t="s">
        <v>158</v>
      </c>
      <c r="D127" s="5" t="s">
        <v>164</v>
      </c>
      <c r="E127" s="2" t="s">
        <v>12</v>
      </c>
      <c r="F127" s="2" t="s">
        <v>13</v>
      </c>
      <c r="G127" s="2" t="s">
        <v>18</v>
      </c>
      <c r="H127" s="2" t="s">
        <v>136</v>
      </c>
      <c r="I127" s="2" t="s">
        <v>16</v>
      </c>
    </row>
    <row r="128" customFormat="false" ht="17.15" hidden="false" customHeight="false" outlineLevel="0" collapsed="false">
      <c r="A128" s="2" t="n">
        <v>127</v>
      </c>
      <c r="B128" s="3" t="s">
        <v>9</v>
      </c>
      <c r="C128" s="4" t="s">
        <v>165</v>
      </c>
      <c r="D128" s="5" t="s">
        <v>166</v>
      </c>
      <c r="E128" s="2" t="s">
        <v>12</v>
      </c>
      <c r="F128" s="2" t="s">
        <v>13</v>
      </c>
      <c r="G128" s="2" t="s">
        <v>18</v>
      </c>
      <c r="H128" s="2" t="s">
        <v>136</v>
      </c>
      <c r="I128" s="2" t="s">
        <v>16</v>
      </c>
    </row>
    <row r="129" customFormat="false" ht="17.15" hidden="false" customHeight="false" outlineLevel="0" collapsed="false">
      <c r="A129" s="2" t="n">
        <v>128</v>
      </c>
      <c r="B129" s="3" t="s">
        <v>9</v>
      </c>
      <c r="C129" s="4" t="s">
        <v>165</v>
      </c>
      <c r="D129" s="5" t="s">
        <v>167</v>
      </c>
      <c r="E129" s="2" t="s">
        <v>12</v>
      </c>
      <c r="F129" s="2" t="s">
        <v>13</v>
      </c>
      <c r="G129" s="2" t="s">
        <v>18</v>
      </c>
      <c r="H129" s="2" t="s">
        <v>136</v>
      </c>
      <c r="I129" s="2" t="s">
        <v>16</v>
      </c>
    </row>
    <row r="130" customFormat="false" ht="17.15" hidden="false" customHeight="false" outlineLevel="0" collapsed="false">
      <c r="A130" s="2" t="n">
        <v>129</v>
      </c>
      <c r="B130" s="3" t="s">
        <v>9</v>
      </c>
      <c r="C130" s="4" t="s">
        <v>165</v>
      </c>
      <c r="D130" s="6" t="s">
        <v>168</v>
      </c>
      <c r="E130" s="2" t="s">
        <v>12</v>
      </c>
      <c r="F130" s="2" t="s">
        <v>13</v>
      </c>
      <c r="G130" s="2" t="s">
        <v>14</v>
      </c>
      <c r="H130" s="2" t="s">
        <v>136</v>
      </c>
      <c r="I130" s="2" t="s">
        <v>16</v>
      </c>
    </row>
    <row r="131" customFormat="false" ht="17.15" hidden="false" customHeight="false" outlineLevel="0" collapsed="false">
      <c r="A131" s="2" t="n">
        <v>130</v>
      </c>
      <c r="B131" s="3" t="s">
        <v>9</v>
      </c>
      <c r="C131" s="4" t="s">
        <v>165</v>
      </c>
      <c r="D131" s="5" t="s">
        <v>169</v>
      </c>
      <c r="E131" s="2" t="s">
        <v>12</v>
      </c>
      <c r="F131" s="2" t="s">
        <v>13</v>
      </c>
      <c r="G131" s="2" t="s">
        <v>18</v>
      </c>
      <c r="H131" s="2" t="s">
        <v>136</v>
      </c>
      <c r="I131" s="2" t="s">
        <v>16</v>
      </c>
    </row>
    <row r="132" customFormat="false" ht="17.15" hidden="false" customHeight="false" outlineLevel="0" collapsed="false">
      <c r="A132" s="2" t="n">
        <v>131</v>
      </c>
      <c r="B132" s="3" t="s">
        <v>9</v>
      </c>
      <c r="C132" s="4" t="s">
        <v>165</v>
      </c>
      <c r="D132" s="6" t="s">
        <v>170</v>
      </c>
      <c r="E132" s="2" t="s">
        <v>12</v>
      </c>
      <c r="F132" s="2" t="s">
        <v>13</v>
      </c>
      <c r="G132" s="2" t="s">
        <v>18</v>
      </c>
      <c r="H132" s="2" t="s">
        <v>136</v>
      </c>
      <c r="I132" s="2" t="s">
        <v>16</v>
      </c>
    </row>
    <row r="133" customFormat="false" ht="17.15" hidden="false" customHeight="false" outlineLevel="0" collapsed="false">
      <c r="A133" s="2" t="n">
        <v>132</v>
      </c>
      <c r="B133" s="3" t="s">
        <v>9</v>
      </c>
      <c r="C133" s="4" t="s">
        <v>165</v>
      </c>
      <c r="D133" s="5" t="s">
        <v>171</v>
      </c>
      <c r="E133" s="2" t="s">
        <v>12</v>
      </c>
      <c r="F133" s="2" t="s">
        <v>13</v>
      </c>
      <c r="G133" s="2" t="s">
        <v>18</v>
      </c>
      <c r="H133" s="2" t="s">
        <v>136</v>
      </c>
      <c r="I133" s="2" t="s">
        <v>16</v>
      </c>
    </row>
    <row r="134" customFormat="false" ht="17.15" hidden="false" customHeight="false" outlineLevel="0" collapsed="false">
      <c r="A134" s="2" t="n">
        <v>133</v>
      </c>
      <c r="B134" s="3" t="s">
        <v>9</v>
      </c>
      <c r="C134" s="4" t="s">
        <v>165</v>
      </c>
      <c r="D134" s="6" t="s">
        <v>172</v>
      </c>
      <c r="E134" s="2" t="s">
        <v>12</v>
      </c>
      <c r="F134" s="2" t="s">
        <v>13</v>
      </c>
      <c r="G134" s="2" t="s">
        <v>14</v>
      </c>
      <c r="H134" s="2" t="s">
        <v>136</v>
      </c>
      <c r="I134" s="2" t="s">
        <v>16</v>
      </c>
    </row>
    <row r="135" customFormat="false" ht="17.15" hidden="false" customHeight="false" outlineLevel="0" collapsed="false">
      <c r="A135" s="2" t="n">
        <v>134</v>
      </c>
      <c r="B135" s="3" t="s">
        <v>9</v>
      </c>
      <c r="C135" s="4" t="s">
        <v>165</v>
      </c>
      <c r="D135" s="5" t="s">
        <v>173</v>
      </c>
      <c r="E135" s="2" t="s">
        <v>12</v>
      </c>
      <c r="F135" s="2" t="s">
        <v>13</v>
      </c>
      <c r="G135" s="2" t="s">
        <v>18</v>
      </c>
      <c r="H135" s="2" t="s">
        <v>136</v>
      </c>
      <c r="I135" s="2" t="s">
        <v>16</v>
      </c>
    </row>
    <row r="136" customFormat="false" ht="17.15" hidden="false" customHeight="false" outlineLevel="0" collapsed="false">
      <c r="A136" s="2" t="n">
        <v>135</v>
      </c>
      <c r="B136" s="3" t="s">
        <v>9</v>
      </c>
      <c r="C136" s="3" t="s">
        <v>174</v>
      </c>
      <c r="D136" s="5" t="s">
        <v>175</v>
      </c>
      <c r="E136" s="2" t="s">
        <v>12</v>
      </c>
      <c r="F136" s="2" t="s">
        <v>13</v>
      </c>
      <c r="G136" s="2" t="s">
        <v>18</v>
      </c>
      <c r="H136" s="2" t="s">
        <v>136</v>
      </c>
      <c r="I136" s="2" t="s">
        <v>16</v>
      </c>
    </row>
    <row r="137" customFormat="false" ht="17.15" hidden="false" customHeight="false" outlineLevel="0" collapsed="false">
      <c r="A137" s="2" t="n">
        <v>136</v>
      </c>
      <c r="B137" s="3" t="s">
        <v>9</v>
      </c>
      <c r="C137" s="3" t="s">
        <v>174</v>
      </c>
      <c r="D137" s="5" t="s">
        <v>176</v>
      </c>
      <c r="E137" s="2" t="s">
        <v>12</v>
      </c>
      <c r="F137" s="2" t="s">
        <v>13</v>
      </c>
      <c r="G137" s="2" t="s">
        <v>14</v>
      </c>
      <c r="H137" s="2" t="s">
        <v>136</v>
      </c>
      <c r="I137" s="2" t="s">
        <v>16</v>
      </c>
    </row>
    <row r="138" customFormat="false" ht="17.15" hidden="false" customHeight="false" outlineLevel="0" collapsed="false">
      <c r="A138" s="2" t="n">
        <v>137</v>
      </c>
      <c r="B138" s="3" t="s">
        <v>9</v>
      </c>
      <c r="C138" s="3" t="s">
        <v>174</v>
      </c>
      <c r="D138" s="5" t="s">
        <v>177</v>
      </c>
      <c r="E138" s="2" t="s">
        <v>12</v>
      </c>
      <c r="F138" s="2" t="s">
        <v>13</v>
      </c>
      <c r="G138" s="2" t="s">
        <v>14</v>
      </c>
      <c r="H138" s="2" t="s">
        <v>136</v>
      </c>
      <c r="I138" s="2" t="s">
        <v>16</v>
      </c>
    </row>
    <row r="139" customFormat="false" ht="17.15" hidden="false" customHeight="false" outlineLevel="0" collapsed="false">
      <c r="A139" s="2" t="n">
        <v>138</v>
      </c>
      <c r="B139" s="3" t="s">
        <v>9</v>
      </c>
      <c r="C139" s="3" t="s">
        <v>174</v>
      </c>
      <c r="D139" s="5" t="s">
        <v>178</v>
      </c>
      <c r="E139" s="2" t="s">
        <v>12</v>
      </c>
      <c r="F139" s="2" t="s">
        <v>13</v>
      </c>
      <c r="G139" s="2" t="s">
        <v>18</v>
      </c>
      <c r="H139" s="2" t="s">
        <v>136</v>
      </c>
      <c r="I139" s="2" t="s">
        <v>16</v>
      </c>
    </row>
    <row r="140" customFormat="false" ht="17.15" hidden="false" customHeight="false" outlineLevel="0" collapsed="false">
      <c r="A140" s="2" t="n">
        <v>139</v>
      </c>
      <c r="B140" s="3" t="s">
        <v>9</v>
      </c>
      <c r="C140" s="3" t="s">
        <v>174</v>
      </c>
      <c r="D140" s="5" t="s">
        <v>179</v>
      </c>
      <c r="E140" s="2" t="s">
        <v>12</v>
      </c>
      <c r="F140" s="2" t="s">
        <v>13</v>
      </c>
      <c r="G140" s="2" t="s">
        <v>18</v>
      </c>
      <c r="H140" s="2" t="s">
        <v>136</v>
      </c>
      <c r="I140" s="2" t="s">
        <v>16</v>
      </c>
    </row>
    <row r="141" customFormat="false" ht="17.15" hidden="false" customHeight="false" outlineLevel="0" collapsed="false">
      <c r="A141" s="2" t="n">
        <v>140</v>
      </c>
      <c r="B141" s="3" t="s">
        <v>9</v>
      </c>
      <c r="C141" s="3" t="s">
        <v>174</v>
      </c>
      <c r="D141" s="5" t="s">
        <v>180</v>
      </c>
      <c r="E141" s="2" t="s">
        <v>12</v>
      </c>
      <c r="F141" s="2" t="s">
        <v>13</v>
      </c>
      <c r="G141" s="2" t="s">
        <v>14</v>
      </c>
      <c r="H141" s="2" t="s">
        <v>136</v>
      </c>
      <c r="I141" s="2" t="s">
        <v>16</v>
      </c>
    </row>
    <row r="142" customFormat="false" ht="17.15" hidden="false" customHeight="false" outlineLevel="0" collapsed="false">
      <c r="A142" s="2" t="n">
        <v>141</v>
      </c>
      <c r="B142" s="3" t="s">
        <v>181</v>
      </c>
      <c r="C142" s="3" t="s">
        <v>182</v>
      </c>
      <c r="D142" s="5" t="s">
        <v>183</v>
      </c>
      <c r="E142" s="2" t="s">
        <v>12</v>
      </c>
      <c r="F142" s="2" t="s">
        <v>13</v>
      </c>
      <c r="G142" s="2" t="s">
        <v>14</v>
      </c>
      <c r="H142" s="2" t="s">
        <v>15</v>
      </c>
      <c r="I142" s="2" t="s">
        <v>16</v>
      </c>
    </row>
    <row r="143" customFormat="false" ht="17.15" hidden="false" customHeight="false" outlineLevel="0" collapsed="false">
      <c r="A143" s="2" t="n">
        <v>142</v>
      </c>
      <c r="B143" s="3" t="s">
        <v>181</v>
      </c>
      <c r="C143" s="3" t="s">
        <v>182</v>
      </c>
      <c r="D143" s="5" t="s">
        <v>184</v>
      </c>
      <c r="E143" s="2" t="s">
        <v>12</v>
      </c>
      <c r="F143" s="2" t="s">
        <v>13</v>
      </c>
      <c r="G143" s="2" t="s">
        <v>14</v>
      </c>
      <c r="H143" s="2" t="s">
        <v>15</v>
      </c>
      <c r="I143" s="2" t="s">
        <v>16</v>
      </c>
    </row>
    <row r="144" customFormat="false" ht="17.15" hidden="false" customHeight="false" outlineLevel="0" collapsed="false">
      <c r="A144" s="2" t="n">
        <v>143</v>
      </c>
      <c r="B144" s="3" t="s">
        <v>181</v>
      </c>
      <c r="C144" s="3" t="s">
        <v>182</v>
      </c>
      <c r="D144" s="5" t="s">
        <v>185</v>
      </c>
      <c r="E144" s="2" t="s">
        <v>12</v>
      </c>
      <c r="F144" s="2" t="s">
        <v>13</v>
      </c>
      <c r="G144" s="2" t="s">
        <v>14</v>
      </c>
      <c r="H144" s="2" t="s">
        <v>15</v>
      </c>
      <c r="I144" s="2" t="s">
        <v>16</v>
      </c>
    </row>
    <row r="145" customFormat="false" ht="17.15" hidden="false" customHeight="false" outlineLevel="0" collapsed="false">
      <c r="A145" s="2" t="n">
        <v>144</v>
      </c>
      <c r="B145" s="3" t="s">
        <v>181</v>
      </c>
      <c r="C145" s="3" t="s">
        <v>182</v>
      </c>
      <c r="D145" s="5" t="s">
        <v>186</v>
      </c>
      <c r="E145" s="2" t="s">
        <v>12</v>
      </c>
      <c r="F145" s="2" t="s">
        <v>13</v>
      </c>
      <c r="G145" s="2" t="s">
        <v>18</v>
      </c>
      <c r="H145" s="2" t="s">
        <v>15</v>
      </c>
      <c r="I145" s="2" t="s">
        <v>16</v>
      </c>
    </row>
    <row r="146" customFormat="false" ht="17.15" hidden="false" customHeight="false" outlineLevel="0" collapsed="false">
      <c r="A146" s="2" t="n">
        <v>145</v>
      </c>
      <c r="B146" s="3" t="s">
        <v>181</v>
      </c>
      <c r="C146" s="3" t="s">
        <v>182</v>
      </c>
      <c r="D146" s="5" t="s">
        <v>187</v>
      </c>
      <c r="E146" s="2" t="s">
        <v>12</v>
      </c>
      <c r="F146" s="2" t="s">
        <v>13</v>
      </c>
      <c r="G146" s="2" t="s">
        <v>18</v>
      </c>
      <c r="H146" s="2" t="s">
        <v>15</v>
      </c>
      <c r="I146" s="2" t="s">
        <v>16</v>
      </c>
    </row>
    <row r="147" customFormat="false" ht="17.15" hidden="false" customHeight="false" outlineLevel="0" collapsed="false">
      <c r="A147" s="2" t="n">
        <v>146</v>
      </c>
      <c r="B147" s="3" t="s">
        <v>181</v>
      </c>
      <c r="C147" s="3" t="s">
        <v>182</v>
      </c>
      <c r="D147" s="5" t="s">
        <v>188</v>
      </c>
      <c r="E147" s="2" t="s">
        <v>12</v>
      </c>
      <c r="F147" s="2" t="s">
        <v>13</v>
      </c>
      <c r="G147" s="2" t="s">
        <v>18</v>
      </c>
      <c r="H147" s="2" t="s">
        <v>15</v>
      </c>
      <c r="I147" s="2" t="s">
        <v>16</v>
      </c>
    </row>
    <row r="148" customFormat="false" ht="32.8" hidden="false" customHeight="false" outlineLevel="0" collapsed="false">
      <c r="A148" s="2" t="n">
        <v>147</v>
      </c>
      <c r="B148" s="3" t="s">
        <v>181</v>
      </c>
      <c r="C148" s="3" t="s">
        <v>182</v>
      </c>
      <c r="D148" s="5" t="s">
        <v>189</v>
      </c>
      <c r="E148" s="2" t="s">
        <v>60</v>
      </c>
      <c r="F148" s="2" t="s">
        <v>13</v>
      </c>
      <c r="G148" s="2" t="s">
        <v>61</v>
      </c>
      <c r="H148" s="2" t="s">
        <v>15</v>
      </c>
      <c r="I148" s="2" t="s">
        <v>126</v>
      </c>
    </row>
    <row r="149" customFormat="false" ht="17.15" hidden="false" customHeight="false" outlineLevel="0" collapsed="false">
      <c r="A149" s="2" t="n">
        <v>148</v>
      </c>
      <c r="B149" s="3" t="s">
        <v>181</v>
      </c>
      <c r="C149" s="3" t="s">
        <v>182</v>
      </c>
      <c r="D149" s="5" t="s">
        <v>190</v>
      </c>
      <c r="E149" s="2" t="s">
        <v>12</v>
      </c>
      <c r="F149" s="2" t="s">
        <v>13</v>
      </c>
      <c r="G149" s="2" t="s">
        <v>14</v>
      </c>
      <c r="H149" s="2" t="s">
        <v>15</v>
      </c>
      <c r="I149" s="2" t="s">
        <v>23</v>
      </c>
    </row>
    <row r="150" customFormat="false" ht="17.15" hidden="false" customHeight="false" outlineLevel="0" collapsed="false">
      <c r="A150" s="2" t="n">
        <v>149</v>
      </c>
      <c r="B150" s="3" t="s">
        <v>181</v>
      </c>
      <c r="C150" s="3" t="s">
        <v>191</v>
      </c>
      <c r="D150" s="5" t="s">
        <v>192</v>
      </c>
      <c r="E150" s="2" t="s">
        <v>12</v>
      </c>
      <c r="F150" s="2" t="s">
        <v>13</v>
      </c>
      <c r="G150" s="2" t="s">
        <v>14</v>
      </c>
      <c r="H150" s="2" t="s">
        <v>15</v>
      </c>
      <c r="I150" s="2" t="s">
        <v>16</v>
      </c>
    </row>
    <row r="151" customFormat="false" ht="32.8" hidden="false" customHeight="false" outlineLevel="0" collapsed="false">
      <c r="A151" s="2" t="n">
        <v>150</v>
      </c>
      <c r="B151" s="3" t="s">
        <v>181</v>
      </c>
      <c r="C151" s="3" t="s">
        <v>191</v>
      </c>
      <c r="D151" s="5" t="s">
        <v>193</v>
      </c>
      <c r="E151" s="2" t="s">
        <v>60</v>
      </c>
      <c r="F151" s="2" t="s">
        <v>13</v>
      </c>
      <c r="G151" s="2" t="s">
        <v>61</v>
      </c>
      <c r="H151" s="2" t="s">
        <v>15</v>
      </c>
      <c r="I151" s="2" t="s">
        <v>16</v>
      </c>
    </row>
    <row r="152" customFormat="false" ht="17.15" hidden="false" customHeight="false" outlineLevel="0" collapsed="false">
      <c r="A152" s="2" t="n">
        <v>151</v>
      </c>
      <c r="B152" s="3" t="s">
        <v>181</v>
      </c>
      <c r="C152" s="3" t="s">
        <v>191</v>
      </c>
      <c r="D152" s="5" t="s">
        <v>194</v>
      </c>
      <c r="E152" s="2" t="s">
        <v>60</v>
      </c>
      <c r="F152" s="2" t="s">
        <v>13</v>
      </c>
      <c r="G152" s="2" t="s">
        <v>61</v>
      </c>
      <c r="H152" s="2" t="s">
        <v>15</v>
      </c>
      <c r="I152" s="2" t="s">
        <v>16</v>
      </c>
    </row>
    <row r="153" customFormat="false" ht="32.8" hidden="false" customHeight="false" outlineLevel="0" collapsed="false">
      <c r="A153" s="2" t="n">
        <v>152</v>
      </c>
      <c r="B153" s="3" t="s">
        <v>181</v>
      </c>
      <c r="C153" s="3" t="s">
        <v>191</v>
      </c>
      <c r="D153" s="5" t="s">
        <v>195</v>
      </c>
      <c r="E153" s="2" t="s">
        <v>12</v>
      </c>
      <c r="F153" s="2" t="s">
        <v>13</v>
      </c>
      <c r="G153" s="2" t="s">
        <v>14</v>
      </c>
      <c r="H153" s="2" t="s">
        <v>15</v>
      </c>
      <c r="I153" s="2" t="s">
        <v>16</v>
      </c>
    </row>
    <row r="154" customFormat="false" ht="17.15" hidden="false" customHeight="false" outlineLevel="0" collapsed="false">
      <c r="A154" s="2" t="n">
        <v>153</v>
      </c>
      <c r="B154" s="3" t="s">
        <v>181</v>
      </c>
      <c r="C154" s="3" t="s">
        <v>191</v>
      </c>
      <c r="D154" s="5" t="s">
        <v>196</v>
      </c>
      <c r="E154" s="2" t="s">
        <v>12</v>
      </c>
      <c r="F154" s="2" t="s">
        <v>13</v>
      </c>
      <c r="G154" s="2" t="s">
        <v>14</v>
      </c>
      <c r="H154" s="2" t="s">
        <v>15</v>
      </c>
      <c r="I154" s="2" t="s">
        <v>16</v>
      </c>
    </row>
    <row r="155" customFormat="false" ht="32.8" hidden="false" customHeight="false" outlineLevel="0" collapsed="false">
      <c r="A155" s="2" t="n">
        <v>154</v>
      </c>
      <c r="B155" s="3" t="s">
        <v>181</v>
      </c>
      <c r="C155" s="3" t="s">
        <v>191</v>
      </c>
      <c r="D155" s="5" t="s">
        <v>197</v>
      </c>
      <c r="E155" s="2" t="s">
        <v>12</v>
      </c>
      <c r="F155" s="2" t="s">
        <v>13</v>
      </c>
      <c r="G155" s="2" t="s">
        <v>14</v>
      </c>
      <c r="H155" s="2" t="s">
        <v>15</v>
      </c>
      <c r="I155" s="2" t="s">
        <v>16</v>
      </c>
    </row>
    <row r="156" customFormat="false" ht="32.8" hidden="false" customHeight="false" outlineLevel="0" collapsed="false">
      <c r="A156" s="2" t="n">
        <v>155</v>
      </c>
      <c r="B156" s="3" t="s">
        <v>181</v>
      </c>
      <c r="C156" s="3" t="s">
        <v>191</v>
      </c>
      <c r="D156" s="5" t="s">
        <v>198</v>
      </c>
      <c r="E156" s="2" t="s">
        <v>60</v>
      </c>
      <c r="F156" s="2" t="s">
        <v>13</v>
      </c>
      <c r="G156" s="2" t="s">
        <v>61</v>
      </c>
      <c r="H156" s="2" t="s">
        <v>15</v>
      </c>
      <c r="I156" s="2" t="s">
        <v>16</v>
      </c>
    </row>
    <row r="157" customFormat="false" ht="17.15" hidden="false" customHeight="false" outlineLevel="0" collapsed="false">
      <c r="A157" s="2" t="n">
        <v>156</v>
      </c>
      <c r="B157" s="3" t="s">
        <v>181</v>
      </c>
      <c r="C157" s="3" t="s">
        <v>191</v>
      </c>
      <c r="D157" s="5" t="s">
        <v>199</v>
      </c>
      <c r="E157" s="2" t="s">
        <v>12</v>
      </c>
      <c r="F157" s="2" t="s">
        <v>13</v>
      </c>
      <c r="G157" s="2" t="s">
        <v>18</v>
      </c>
      <c r="H157" s="2" t="s">
        <v>15</v>
      </c>
      <c r="I157" s="2" t="s">
        <v>16</v>
      </c>
    </row>
    <row r="158" customFormat="false" ht="17.15" hidden="false" customHeight="false" outlineLevel="0" collapsed="false">
      <c r="A158" s="2" t="n">
        <v>157</v>
      </c>
      <c r="B158" s="3" t="s">
        <v>181</v>
      </c>
      <c r="C158" s="3" t="s">
        <v>191</v>
      </c>
      <c r="D158" s="5" t="s">
        <v>200</v>
      </c>
      <c r="E158" s="2" t="s">
        <v>12</v>
      </c>
      <c r="F158" s="2" t="s">
        <v>13</v>
      </c>
      <c r="G158" s="2" t="s">
        <v>18</v>
      </c>
      <c r="H158" s="2" t="s">
        <v>15</v>
      </c>
      <c r="I158" s="2" t="s">
        <v>16</v>
      </c>
    </row>
    <row r="159" customFormat="false" ht="17.15" hidden="false" customHeight="false" outlineLevel="0" collapsed="false">
      <c r="A159" s="2" t="n">
        <v>158</v>
      </c>
      <c r="B159" s="3" t="s">
        <v>181</v>
      </c>
      <c r="C159" s="3" t="s">
        <v>201</v>
      </c>
      <c r="D159" s="5" t="s">
        <v>202</v>
      </c>
      <c r="E159" s="2" t="s">
        <v>12</v>
      </c>
      <c r="F159" s="2" t="s">
        <v>13</v>
      </c>
      <c r="G159" s="2" t="s">
        <v>14</v>
      </c>
      <c r="H159" s="2" t="s">
        <v>15</v>
      </c>
      <c r="I159" s="2" t="s">
        <v>16</v>
      </c>
    </row>
    <row r="160" customFormat="false" ht="17.15" hidden="false" customHeight="false" outlineLevel="0" collapsed="false">
      <c r="A160" s="2" t="n">
        <v>159</v>
      </c>
      <c r="B160" s="3" t="s">
        <v>181</v>
      </c>
      <c r="C160" s="3" t="s">
        <v>201</v>
      </c>
      <c r="D160" s="5" t="s">
        <v>203</v>
      </c>
      <c r="E160" s="2" t="s">
        <v>60</v>
      </c>
      <c r="F160" s="2" t="s">
        <v>13</v>
      </c>
      <c r="G160" s="2" t="s">
        <v>61</v>
      </c>
      <c r="H160" s="2" t="s">
        <v>15</v>
      </c>
      <c r="I160" s="2" t="s">
        <v>16</v>
      </c>
    </row>
    <row r="161" customFormat="false" ht="32.8" hidden="false" customHeight="false" outlineLevel="0" collapsed="false">
      <c r="A161" s="2" t="n">
        <v>160</v>
      </c>
      <c r="B161" s="3" t="s">
        <v>181</v>
      </c>
      <c r="C161" s="3" t="s">
        <v>201</v>
      </c>
      <c r="D161" s="5" t="s">
        <v>204</v>
      </c>
      <c r="E161" s="2" t="s">
        <v>12</v>
      </c>
      <c r="F161" s="2" t="s">
        <v>13</v>
      </c>
      <c r="G161" s="2" t="s">
        <v>14</v>
      </c>
      <c r="H161" s="2" t="s">
        <v>15</v>
      </c>
      <c r="I161" s="2" t="s">
        <v>16</v>
      </c>
    </row>
    <row r="162" customFormat="false" ht="17.15" hidden="false" customHeight="false" outlineLevel="0" collapsed="false">
      <c r="A162" s="2" t="n">
        <v>161</v>
      </c>
      <c r="B162" s="3" t="s">
        <v>181</v>
      </c>
      <c r="C162" s="3" t="s">
        <v>201</v>
      </c>
      <c r="D162" s="5" t="s">
        <v>205</v>
      </c>
      <c r="E162" s="2" t="s">
        <v>12</v>
      </c>
      <c r="F162" s="2" t="s">
        <v>13</v>
      </c>
      <c r="G162" s="2" t="s">
        <v>18</v>
      </c>
      <c r="H162" s="2" t="s">
        <v>15</v>
      </c>
      <c r="I162" s="2" t="s">
        <v>16</v>
      </c>
    </row>
    <row r="163" customFormat="false" ht="17.15" hidden="false" customHeight="false" outlineLevel="0" collapsed="false">
      <c r="A163" s="2" t="n">
        <v>162</v>
      </c>
      <c r="B163" s="3" t="s">
        <v>181</v>
      </c>
      <c r="C163" s="3" t="s">
        <v>201</v>
      </c>
      <c r="D163" s="5" t="s">
        <v>206</v>
      </c>
      <c r="E163" s="2" t="s">
        <v>12</v>
      </c>
      <c r="F163" s="2" t="s">
        <v>13</v>
      </c>
      <c r="G163" s="2" t="s">
        <v>18</v>
      </c>
      <c r="H163" s="2" t="s">
        <v>15</v>
      </c>
      <c r="I163" s="2" t="s">
        <v>16</v>
      </c>
    </row>
    <row r="164" customFormat="false" ht="17.15" hidden="false" customHeight="false" outlineLevel="0" collapsed="false">
      <c r="A164" s="2" t="n">
        <v>163</v>
      </c>
      <c r="B164" s="3" t="s">
        <v>181</v>
      </c>
      <c r="C164" s="3" t="s">
        <v>201</v>
      </c>
      <c r="D164" s="5" t="s">
        <v>207</v>
      </c>
      <c r="E164" s="2" t="s">
        <v>12</v>
      </c>
      <c r="F164" s="2" t="s">
        <v>13</v>
      </c>
      <c r="G164" s="2" t="s">
        <v>18</v>
      </c>
      <c r="H164" s="2" t="s">
        <v>15</v>
      </c>
      <c r="I164" s="2" t="s">
        <v>16</v>
      </c>
    </row>
    <row r="165" customFormat="false" ht="17.15" hidden="false" customHeight="false" outlineLevel="0" collapsed="false">
      <c r="A165" s="2" t="n">
        <v>164</v>
      </c>
      <c r="B165" s="3" t="s">
        <v>181</v>
      </c>
      <c r="C165" s="3" t="s">
        <v>201</v>
      </c>
      <c r="D165" s="5" t="s">
        <v>208</v>
      </c>
      <c r="E165" s="2" t="s">
        <v>12</v>
      </c>
      <c r="F165" s="2" t="s">
        <v>13</v>
      </c>
      <c r="G165" s="2" t="s">
        <v>18</v>
      </c>
      <c r="H165" s="2" t="s">
        <v>15</v>
      </c>
      <c r="I165" s="2" t="s">
        <v>16</v>
      </c>
    </row>
    <row r="166" customFormat="false" ht="32.8" hidden="false" customHeight="false" outlineLevel="0" collapsed="false">
      <c r="A166" s="2" t="n">
        <v>165</v>
      </c>
      <c r="B166" s="3" t="s">
        <v>181</v>
      </c>
      <c r="C166" s="3" t="s">
        <v>201</v>
      </c>
      <c r="D166" s="5" t="s">
        <v>209</v>
      </c>
      <c r="E166" s="2" t="s">
        <v>12</v>
      </c>
      <c r="F166" s="2" t="s">
        <v>13</v>
      </c>
      <c r="G166" s="2" t="s">
        <v>14</v>
      </c>
      <c r="H166" s="2" t="s">
        <v>15</v>
      </c>
      <c r="I166" s="2" t="s">
        <v>16</v>
      </c>
    </row>
    <row r="167" customFormat="false" ht="17.15" hidden="false" customHeight="false" outlineLevel="0" collapsed="false">
      <c r="A167" s="2" t="n">
        <v>166</v>
      </c>
      <c r="B167" s="3" t="s">
        <v>181</v>
      </c>
      <c r="C167" s="3" t="s">
        <v>201</v>
      </c>
      <c r="D167" s="5" t="s">
        <v>210</v>
      </c>
      <c r="E167" s="2" t="s">
        <v>12</v>
      </c>
      <c r="F167" s="2" t="s">
        <v>13</v>
      </c>
      <c r="G167" s="2" t="s">
        <v>18</v>
      </c>
      <c r="H167" s="2" t="s">
        <v>15</v>
      </c>
      <c r="I167" s="2" t="s">
        <v>16</v>
      </c>
    </row>
    <row r="168" customFormat="false" ht="32.8" hidden="false" customHeight="false" outlineLevel="0" collapsed="false">
      <c r="A168" s="2" t="n">
        <v>167</v>
      </c>
      <c r="B168" s="3" t="s">
        <v>181</v>
      </c>
      <c r="C168" s="3" t="s">
        <v>211</v>
      </c>
      <c r="D168" s="5" t="s">
        <v>212</v>
      </c>
      <c r="E168" s="2" t="s">
        <v>12</v>
      </c>
      <c r="F168" s="2" t="s">
        <v>13</v>
      </c>
      <c r="G168" s="2" t="s">
        <v>18</v>
      </c>
      <c r="H168" s="2" t="s">
        <v>136</v>
      </c>
      <c r="I168" s="2" t="s">
        <v>16</v>
      </c>
    </row>
    <row r="169" customFormat="false" ht="17.15" hidden="false" customHeight="false" outlineLevel="0" collapsed="false">
      <c r="A169" s="2" t="n">
        <v>168</v>
      </c>
      <c r="B169" s="3" t="s">
        <v>181</v>
      </c>
      <c r="C169" s="3" t="s">
        <v>211</v>
      </c>
      <c r="D169" s="5" t="s">
        <v>213</v>
      </c>
      <c r="E169" s="2" t="s">
        <v>12</v>
      </c>
      <c r="F169" s="2" t="s">
        <v>13</v>
      </c>
      <c r="G169" s="2" t="s">
        <v>18</v>
      </c>
      <c r="H169" s="2" t="s">
        <v>136</v>
      </c>
      <c r="I169" s="2" t="s">
        <v>16</v>
      </c>
    </row>
    <row r="170" customFormat="false" ht="17.15" hidden="false" customHeight="false" outlineLevel="0" collapsed="false">
      <c r="A170" s="2" t="n">
        <v>169</v>
      </c>
      <c r="B170" s="3" t="s">
        <v>181</v>
      </c>
      <c r="C170" s="3" t="s">
        <v>211</v>
      </c>
      <c r="D170" s="5" t="s">
        <v>214</v>
      </c>
      <c r="E170" s="2" t="s">
        <v>12</v>
      </c>
      <c r="F170" s="2" t="s">
        <v>13</v>
      </c>
      <c r="G170" s="2" t="s">
        <v>18</v>
      </c>
      <c r="H170" s="2" t="s">
        <v>136</v>
      </c>
      <c r="I170" s="2" t="s">
        <v>16</v>
      </c>
    </row>
    <row r="171" customFormat="false" ht="17.15" hidden="false" customHeight="false" outlineLevel="0" collapsed="false">
      <c r="A171" s="2" t="n">
        <v>170</v>
      </c>
      <c r="B171" s="3" t="s">
        <v>181</v>
      </c>
      <c r="C171" s="3" t="s">
        <v>211</v>
      </c>
      <c r="D171" s="5" t="s">
        <v>215</v>
      </c>
      <c r="E171" s="2" t="s">
        <v>12</v>
      </c>
      <c r="F171" s="2" t="s">
        <v>13</v>
      </c>
      <c r="G171" s="2" t="s">
        <v>18</v>
      </c>
      <c r="H171" s="2" t="s">
        <v>136</v>
      </c>
      <c r="I171" s="2" t="s">
        <v>16</v>
      </c>
    </row>
    <row r="172" customFormat="false" ht="17.15" hidden="false" customHeight="false" outlineLevel="0" collapsed="false">
      <c r="A172" s="2" t="n">
        <v>171</v>
      </c>
      <c r="B172" s="3" t="s">
        <v>181</v>
      </c>
      <c r="C172" s="3" t="s">
        <v>211</v>
      </c>
      <c r="D172" s="5" t="s">
        <v>216</v>
      </c>
      <c r="E172" s="2" t="s">
        <v>12</v>
      </c>
      <c r="F172" s="2" t="s">
        <v>13</v>
      </c>
      <c r="G172" s="2" t="s">
        <v>18</v>
      </c>
      <c r="H172" s="2" t="s">
        <v>136</v>
      </c>
      <c r="I172" s="2" t="s">
        <v>16</v>
      </c>
    </row>
    <row r="173" customFormat="false" ht="32.8" hidden="false" customHeight="false" outlineLevel="0" collapsed="false">
      <c r="A173" s="2" t="n">
        <v>172</v>
      </c>
      <c r="B173" s="3" t="s">
        <v>181</v>
      </c>
      <c r="C173" s="3" t="s">
        <v>217</v>
      </c>
      <c r="D173" s="5" t="s">
        <v>218</v>
      </c>
      <c r="E173" s="2" t="s">
        <v>12</v>
      </c>
      <c r="F173" s="2" t="s">
        <v>13</v>
      </c>
      <c r="G173" s="2" t="s">
        <v>14</v>
      </c>
      <c r="H173" s="2" t="s">
        <v>15</v>
      </c>
      <c r="I173" s="2" t="s">
        <v>126</v>
      </c>
    </row>
    <row r="174" customFormat="false" ht="32.8" hidden="false" customHeight="false" outlineLevel="0" collapsed="false">
      <c r="A174" s="2" t="n">
        <v>173</v>
      </c>
      <c r="B174" s="3" t="s">
        <v>181</v>
      </c>
      <c r="C174" s="3" t="s">
        <v>217</v>
      </c>
      <c r="D174" s="5" t="s">
        <v>219</v>
      </c>
      <c r="E174" s="2" t="s">
        <v>12</v>
      </c>
      <c r="F174" s="2" t="s">
        <v>13</v>
      </c>
      <c r="G174" s="2" t="s">
        <v>14</v>
      </c>
      <c r="H174" s="2" t="s">
        <v>15</v>
      </c>
      <c r="I174" s="2" t="s">
        <v>83</v>
      </c>
    </row>
    <row r="175" customFormat="false" ht="17.15" hidden="false" customHeight="false" outlineLevel="0" collapsed="false">
      <c r="A175" s="2" t="n">
        <v>174</v>
      </c>
      <c r="B175" s="3" t="s">
        <v>181</v>
      </c>
      <c r="C175" s="3" t="s">
        <v>217</v>
      </c>
      <c r="D175" s="5" t="s">
        <v>220</v>
      </c>
      <c r="E175" s="2" t="s">
        <v>12</v>
      </c>
      <c r="F175" s="2" t="s">
        <v>13</v>
      </c>
      <c r="G175" s="2" t="s">
        <v>14</v>
      </c>
      <c r="H175" s="2" t="s">
        <v>15</v>
      </c>
      <c r="I175" s="2" t="s">
        <v>16</v>
      </c>
    </row>
    <row r="176" customFormat="false" ht="32.8" hidden="false" customHeight="false" outlineLevel="0" collapsed="false">
      <c r="A176" s="2" t="n">
        <v>175</v>
      </c>
      <c r="B176" s="3" t="s">
        <v>181</v>
      </c>
      <c r="C176" s="3" t="s">
        <v>217</v>
      </c>
      <c r="D176" s="5" t="s">
        <v>221</v>
      </c>
      <c r="E176" s="2" t="s">
        <v>60</v>
      </c>
      <c r="F176" s="2" t="s">
        <v>13</v>
      </c>
      <c r="G176" s="2" t="s">
        <v>61</v>
      </c>
      <c r="H176" s="2" t="s">
        <v>15</v>
      </c>
      <c r="I176" s="2" t="s">
        <v>16</v>
      </c>
    </row>
    <row r="177" customFormat="false" ht="17.15" hidden="false" customHeight="false" outlineLevel="0" collapsed="false">
      <c r="A177" s="2" t="n">
        <v>176</v>
      </c>
      <c r="B177" s="3" t="s">
        <v>222</v>
      </c>
      <c r="C177" s="3" t="s">
        <v>223</v>
      </c>
      <c r="D177" s="5" t="s">
        <v>224</v>
      </c>
      <c r="E177" s="2" t="s">
        <v>12</v>
      </c>
      <c r="F177" s="2" t="s">
        <v>13</v>
      </c>
      <c r="G177" s="2" t="s">
        <v>18</v>
      </c>
      <c r="H177" s="2" t="s">
        <v>15</v>
      </c>
      <c r="I177" s="2" t="s">
        <v>16</v>
      </c>
    </row>
    <row r="178" customFormat="false" ht="17.15" hidden="false" customHeight="false" outlineLevel="0" collapsed="false">
      <c r="A178" s="2" t="n">
        <v>177</v>
      </c>
      <c r="B178" s="3" t="s">
        <v>222</v>
      </c>
      <c r="C178" s="3" t="s">
        <v>223</v>
      </c>
      <c r="D178" s="5" t="s">
        <v>225</v>
      </c>
      <c r="E178" s="2" t="s">
        <v>12</v>
      </c>
      <c r="F178" s="2" t="s">
        <v>13</v>
      </c>
      <c r="G178" s="2" t="s">
        <v>14</v>
      </c>
      <c r="H178" s="2" t="s">
        <v>15</v>
      </c>
      <c r="I178" s="2" t="s">
        <v>16</v>
      </c>
    </row>
    <row r="179" customFormat="false" ht="17.15" hidden="false" customHeight="false" outlineLevel="0" collapsed="false">
      <c r="A179" s="2" t="n">
        <v>178</v>
      </c>
      <c r="B179" s="3" t="s">
        <v>222</v>
      </c>
      <c r="C179" s="3" t="s">
        <v>223</v>
      </c>
      <c r="D179" s="5" t="s">
        <v>226</v>
      </c>
      <c r="E179" s="2" t="s">
        <v>12</v>
      </c>
      <c r="F179" s="2" t="s">
        <v>13</v>
      </c>
      <c r="G179" s="2" t="s">
        <v>18</v>
      </c>
      <c r="H179" s="2" t="s">
        <v>15</v>
      </c>
      <c r="I179" s="2" t="s">
        <v>16</v>
      </c>
    </row>
    <row r="180" customFormat="false" ht="17.15" hidden="false" customHeight="false" outlineLevel="0" collapsed="false">
      <c r="A180" s="2" t="n">
        <v>179</v>
      </c>
      <c r="B180" s="3" t="s">
        <v>222</v>
      </c>
      <c r="C180" s="3" t="s">
        <v>223</v>
      </c>
      <c r="D180" s="5" t="s">
        <v>227</v>
      </c>
      <c r="E180" s="2" t="s">
        <v>12</v>
      </c>
      <c r="F180" s="2" t="s">
        <v>13</v>
      </c>
      <c r="G180" s="2" t="s">
        <v>18</v>
      </c>
      <c r="H180" s="2" t="s">
        <v>15</v>
      </c>
      <c r="I180" s="2" t="s">
        <v>16</v>
      </c>
    </row>
    <row r="181" customFormat="false" ht="17.15" hidden="false" customHeight="false" outlineLevel="0" collapsed="false">
      <c r="A181" s="2" t="n">
        <v>180</v>
      </c>
      <c r="B181" s="3" t="s">
        <v>222</v>
      </c>
      <c r="C181" s="3" t="s">
        <v>223</v>
      </c>
      <c r="D181" s="5" t="s">
        <v>228</v>
      </c>
      <c r="E181" s="2" t="s">
        <v>60</v>
      </c>
      <c r="F181" s="2" t="s">
        <v>13</v>
      </c>
      <c r="G181" s="2" t="s">
        <v>61</v>
      </c>
      <c r="H181" s="2" t="s">
        <v>15</v>
      </c>
      <c r="I181" s="2" t="s">
        <v>16</v>
      </c>
    </row>
    <row r="182" customFormat="false" ht="17.15" hidden="false" customHeight="false" outlineLevel="0" collapsed="false">
      <c r="A182" s="2" t="n">
        <v>181</v>
      </c>
      <c r="B182" s="3" t="s">
        <v>222</v>
      </c>
      <c r="C182" s="3" t="s">
        <v>223</v>
      </c>
      <c r="D182" s="5" t="s">
        <v>229</v>
      </c>
      <c r="E182" s="2" t="s">
        <v>12</v>
      </c>
      <c r="F182" s="2" t="s">
        <v>13</v>
      </c>
      <c r="G182" s="2" t="s">
        <v>14</v>
      </c>
      <c r="H182" s="2" t="s">
        <v>15</v>
      </c>
      <c r="I182" s="2" t="s">
        <v>16</v>
      </c>
    </row>
    <row r="183" customFormat="false" ht="17.15" hidden="false" customHeight="false" outlineLevel="0" collapsed="false">
      <c r="A183" s="2" t="n">
        <v>182</v>
      </c>
      <c r="B183" s="3" t="s">
        <v>222</v>
      </c>
      <c r="C183" s="3" t="s">
        <v>230</v>
      </c>
      <c r="D183" s="5" t="s">
        <v>231</v>
      </c>
      <c r="E183" s="2" t="s">
        <v>12</v>
      </c>
      <c r="F183" s="2" t="s">
        <v>13</v>
      </c>
      <c r="G183" s="2" t="s">
        <v>18</v>
      </c>
      <c r="H183" s="2" t="s">
        <v>15</v>
      </c>
      <c r="I183" s="2" t="s">
        <v>16</v>
      </c>
    </row>
    <row r="184" customFormat="false" ht="17.15" hidden="false" customHeight="false" outlineLevel="0" collapsed="false">
      <c r="A184" s="2" t="n">
        <v>183</v>
      </c>
      <c r="B184" s="3" t="s">
        <v>222</v>
      </c>
      <c r="C184" s="3" t="s">
        <v>230</v>
      </c>
      <c r="D184" s="5" t="s">
        <v>232</v>
      </c>
      <c r="E184" s="2" t="s">
        <v>12</v>
      </c>
      <c r="F184" s="2" t="s">
        <v>13</v>
      </c>
      <c r="G184" s="2" t="s">
        <v>18</v>
      </c>
      <c r="H184" s="2" t="s">
        <v>15</v>
      </c>
      <c r="I184" s="2" t="s">
        <v>16</v>
      </c>
    </row>
    <row r="185" customFormat="false" ht="17.15" hidden="false" customHeight="false" outlineLevel="0" collapsed="false">
      <c r="A185" s="2" t="n">
        <v>184</v>
      </c>
      <c r="B185" s="3" t="s">
        <v>222</v>
      </c>
      <c r="C185" s="3" t="s">
        <v>230</v>
      </c>
      <c r="D185" s="5" t="s">
        <v>233</v>
      </c>
      <c r="E185" s="2" t="s">
        <v>12</v>
      </c>
      <c r="F185" s="2" t="s">
        <v>13</v>
      </c>
      <c r="G185" s="2" t="s">
        <v>18</v>
      </c>
      <c r="H185" s="2" t="s">
        <v>15</v>
      </c>
      <c r="I185" s="2" t="s">
        <v>16</v>
      </c>
    </row>
    <row r="186" customFormat="false" ht="17.15" hidden="false" customHeight="false" outlineLevel="0" collapsed="false">
      <c r="A186" s="2" t="n">
        <v>185</v>
      </c>
      <c r="B186" s="3" t="s">
        <v>222</v>
      </c>
      <c r="C186" s="3" t="s">
        <v>230</v>
      </c>
      <c r="D186" s="5" t="s">
        <v>234</v>
      </c>
      <c r="E186" s="2" t="s">
        <v>12</v>
      </c>
      <c r="F186" s="2" t="s">
        <v>13</v>
      </c>
      <c r="G186" s="2" t="s">
        <v>18</v>
      </c>
      <c r="H186" s="2" t="s">
        <v>15</v>
      </c>
      <c r="I186" s="2" t="s">
        <v>16</v>
      </c>
    </row>
    <row r="187" customFormat="false" ht="17.15" hidden="false" customHeight="false" outlineLevel="0" collapsed="false">
      <c r="A187" s="2" t="n">
        <v>186</v>
      </c>
      <c r="B187" s="3" t="s">
        <v>222</v>
      </c>
      <c r="C187" s="3" t="s">
        <v>230</v>
      </c>
      <c r="D187" s="5" t="s">
        <v>235</v>
      </c>
      <c r="E187" s="2" t="s">
        <v>12</v>
      </c>
      <c r="F187" s="2" t="s">
        <v>13</v>
      </c>
      <c r="G187" s="2" t="s">
        <v>18</v>
      </c>
      <c r="H187" s="2" t="s">
        <v>15</v>
      </c>
      <c r="I187" s="2" t="s">
        <v>16</v>
      </c>
    </row>
    <row r="188" customFormat="false" ht="17.15" hidden="false" customHeight="false" outlineLevel="0" collapsed="false">
      <c r="A188" s="2" t="n">
        <v>187</v>
      </c>
      <c r="B188" s="3" t="s">
        <v>222</v>
      </c>
      <c r="C188" s="3" t="s">
        <v>236</v>
      </c>
      <c r="D188" s="5" t="s">
        <v>237</v>
      </c>
      <c r="E188" s="2" t="s">
        <v>12</v>
      </c>
      <c r="F188" s="2" t="s">
        <v>13</v>
      </c>
      <c r="G188" s="2" t="s">
        <v>14</v>
      </c>
      <c r="H188" s="2" t="s">
        <v>15</v>
      </c>
      <c r="I188" s="2" t="s">
        <v>16</v>
      </c>
    </row>
    <row r="189" customFormat="false" ht="17.15" hidden="false" customHeight="false" outlineLevel="0" collapsed="false">
      <c r="A189" s="2" t="n">
        <v>188</v>
      </c>
      <c r="B189" s="3" t="s">
        <v>222</v>
      </c>
      <c r="C189" s="3" t="s">
        <v>236</v>
      </c>
      <c r="D189" s="5" t="s">
        <v>238</v>
      </c>
      <c r="E189" s="2" t="s">
        <v>12</v>
      </c>
      <c r="F189" s="2" t="s">
        <v>13</v>
      </c>
      <c r="G189" s="2" t="s">
        <v>18</v>
      </c>
      <c r="H189" s="2" t="s">
        <v>15</v>
      </c>
      <c r="I189" s="2" t="s">
        <v>16</v>
      </c>
    </row>
    <row r="190" customFormat="false" ht="17.15" hidden="false" customHeight="false" outlineLevel="0" collapsed="false">
      <c r="A190" s="2" t="n">
        <v>189</v>
      </c>
      <c r="B190" s="3" t="s">
        <v>222</v>
      </c>
      <c r="C190" s="3" t="s">
        <v>236</v>
      </c>
      <c r="D190" s="5" t="s">
        <v>239</v>
      </c>
      <c r="E190" s="2" t="s">
        <v>12</v>
      </c>
      <c r="F190" s="2" t="s">
        <v>13</v>
      </c>
      <c r="G190" s="2" t="s">
        <v>18</v>
      </c>
      <c r="H190" s="2" t="s">
        <v>15</v>
      </c>
      <c r="I190" s="2" t="s">
        <v>16</v>
      </c>
    </row>
    <row r="191" customFormat="false" ht="17.15" hidden="false" customHeight="false" outlineLevel="0" collapsed="false">
      <c r="A191" s="2" t="n">
        <v>190</v>
      </c>
      <c r="B191" s="3" t="s">
        <v>222</v>
      </c>
      <c r="C191" s="3" t="s">
        <v>236</v>
      </c>
      <c r="D191" s="5" t="s">
        <v>240</v>
      </c>
      <c r="E191" s="2" t="s">
        <v>12</v>
      </c>
      <c r="F191" s="2" t="s">
        <v>13</v>
      </c>
      <c r="G191" s="2" t="s">
        <v>18</v>
      </c>
      <c r="H191" s="2" t="s">
        <v>15</v>
      </c>
      <c r="I191" s="2" t="s">
        <v>16</v>
      </c>
    </row>
    <row r="192" customFormat="false" ht="17.15" hidden="false" customHeight="false" outlineLevel="0" collapsed="false">
      <c r="A192" s="2" t="n">
        <v>191</v>
      </c>
      <c r="B192" s="3" t="s">
        <v>241</v>
      </c>
      <c r="C192" s="3" t="s">
        <v>242</v>
      </c>
      <c r="D192" s="5" t="s">
        <v>243</v>
      </c>
      <c r="E192" s="2" t="s">
        <v>12</v>
      </c>
      <c r="F192" s="2" t="s">
        <v>13</v>
      </c>
      <c r="G192" s="2" t="s">
        <v>18</v>
      </c>
      <c r="H192" s="2" t="s">
        <v>15</v>
      </c>
      <c r="I192" s="2" t="s">
        <v>16</v>
      </c>
    </row>
    <row r="193" customFormat="false" ht="17.15" hidden="false" customHeight="false" outlineLevel="0" collapsed="false">
      <c r="A193" s="2" t="n">
        <v>192</v>
      </c>
      <c r="B193" s="3" t="s">
        <v>241</v>
      </c>
      <c r="C193" s="3" t="s">
        <v>242</v>
      </c>
      <c r="D193" s="5" t="s">
        <v>244</v>
      </c>
      <c r="E193" s="2" t="s">
        <v>12</v>
      </c>
      <c r="F193" s="2" t="s">
        <v>13</v>
      </c>
      <c r="G193" s="2" t="s">
        <v>18</v>
      </c>
      <c r="H193" s="2" t="s">
        <v>15</v>
      </c>
      <c r="I193" s="2" t="s">
        <v>16</v>
      </c>
    </row>
    <row r="194" customFormat="false" ht="17.15" hidden="false" customHeight="false" outlineLevel="0" collapsed="false">
      <c r="A194" s="2" t="n">
        <v>193</v>
      </c>
      <c r="B194" s="3" t="s">
        <v>241</v>
      </c>
      <c r="C194" s="3" t="s">
        <v>242</v>
      </c>
      <c r="D194" s="5" t="s">
        <v>245</v>
      </c>
      <c r="E194" s="2" t="s">
        <v>12</v>
      </c>
      <c r="F194" s="2" t="s">
        <v>13</v>
      </c>
      <c r="G194" s="2" t="s">
        <v>18</v>
      </c>
      <c r="H194" s="2" t="s">
        <v>15</v>
      </c>
      <c r="I194" s="2" t="s">
        <v>16</v>
      </c>
    </row>
    <row r="195" customFormat="false" ht="17.15" hidden="false" customHeight="false" outlineLevel="0" collapsed="false">
      <c r="A195" s="2" t="n">
        <v>194</v>
      </c>
      <c r="B195" s="3" t="s">
        <v>241</v>
      </c>
      <c r="C195" s="3" t="s">
        <v>242</v>
      </c>
      <c r="D195" s="5" t="s">
        <v>246</v>
      </c>
      <c r="E195" s="2" t="s">
        <v>12</v>
      </c>
      <c r="F195" s="2" t="s">
        <v>13</v>
      </c>
      <c r="G195" s="2" t="s">
        <v>18</v>
      </c>
      <c r="H195" s="2" t="s">
        <v>15</v>
      </c>
      <c r="I195" s="2" t="s">
        <v>16</v>
      </c>
    </row>
    <row r="196" customFormat="false" ht="17.15" hidden="false" customHeight="false" outlineLevel="0" collapsed="false">
      <c r="A196" s="2" t="n">
        <v>195</v>
      </c>
      <c r="B196" s="3" t="s">
        <v>241</v>
      </c>
      <c r="C196" s="3" t="s">
        <v>247</v>
      </c>
      <c r="D196" s="5" t="s">
        <v>248</v>
      </c>
      <c r="E196" s="2" t="s">
        <v>12</v>
      </c>
      <c r="F196" s="2" t="s">
        <v>13</v>
      </c>
      <c r="G196" s="2" t="s">
        <v>18</v>
      </c>
      <c r="H196" s="2" t="s">
        <v>15</v>
      </c>
      <c r="I196" s="2" t="s">
        <v>16</v>
      </c>
    </row>
    <row r="197" customFormat="false" ht="17.15" hidden="false" customHeight="false" outlineLevel="0" collapsed="false">
      <c r="A197" s="2" t="n">
        <v>196</v>
      </c>
      <c r="B197" s="3" t="s">
        <v>241</v>
      </c>
      <c r="C197" s="3" t="s">
        <v>247</v>
      </c>
      <c r="D197" s="5" t="s">
        <v>249</v>
      </c>
      <c r="E197" s="2" t="s">
        <v>12</v>
      </c>
      <c r="F197" s="2" t="s">
        <v>13</v>
      </c>
      <c r="G197" s="2" t="s">
        <v>18</v>
      </c>
      <c r="H197" s="2" t="s">
        <v>15</v>
      </c>
      <c r="I197" s="2" t="s">
        <v>16</v>
      </c>
    </row>
    <row r="198" customFormat="false" ht="17.15" hidden="false" customHeight="false" outlineLevel="0" collapsed="false">
      <c r="A198" s="2" t="n">
        <v>197</v>
      </c>
      <c r="B198" s="3" t="s">
        <v>241</v>
      </c>
      <c r="C198" s="3" t="s">
        <v>247</v>
      </c>
      <c r="D198" s="5" t="s">
        <v>250</v>
      </c>
      <c r="E198" s="2" t="s">
        <v>12</v>
      </c>
      <c r="F198" s="2" t="s">
        <v>13</v>
      </c>
      <c r="G198" s="2" t="s">
        <v>14</v>
      </c>
      <c r="H198" s="2" t="s">
        <v>15</v>
      </c>
      <c r="I198" s="2" t="s">
        <v>16</v>
      </c>
    </row>
    <row r="199" customFormat="false" ht="17.15" hidden="false" customHeight="false" outlineLevel="0" collapsed="false">
      <c r="A199" s="2" t="n">
        <v>198</v>
      </c>
      <c r="B199" s="3" t="s">
        <v>241</v>
      </c>
      <c r="C199" s="3" t="s">
        <v>251</v>
      </c>
      <c r="D199" s="5" t="s">
        <v>252</v>
      </c>
      <c r="E199" s="2" t="s">
        <v>60</v>
      </c>
      <c r="F199" s="2" t="s">
        <v>13</v>
      </c>
      <c r="G199" s="2" t="s">
        <v>61</v>
      </c>
      <c r="H199" s="2" t="s">
        <v>15</v>
      </c>
      <c r="I199" s="2" t="s">
        <v>16</v>
      </c>
    </row>
    <row r="200" customFormat="false" ht="17.15" hidden="false" customHeight="false" outlineLevel="0" collapsed="false">
      <c r="A200" s="2" t="n">
        <v>199</v>
      </c>
      <c r="B200" s="3" t="s">
        <v>241</v>
      </c>
      <c r="C200" s="3" t="s">
        <v>251</v>
      </c>
      <c r="D200" s="5" t="s">
        <v>253</v>
      </c>
      <c r="E200" s="2" t="s">
        <v>12</v>
      </c>
      <c r="F200" s="2" t="s">
        <v>13</v>
      </c>
      <c r="G200" s="2" t="s">
        <v>18</v>
      </c>
      <c r="H200" s="2" t="s">
        <v>15</v>
      </c>
      <c r="I200" s="2" t="s">
        <v>16</v>
      </c>
    </row>
    <row r="201" customFormat="false" ht="17.15" hidden="false" customHeight="false" outlineLevel="0" collapsed="false">
      <c r="A201" s="2" t="n">
        <v>200</v>
      </c>
      <c r="B201" s="3" t="s">
        <v>241</v>
      </c>
      <c r="C201" s="3" t="s">
        <v>251</v>
      </c>
      <c r="D201" s="5" t="s">
        <v>254</v>
      </c>
      <c r="E201" s="2" t="s">
        <v>12</v>
      </c>
      <c r="F201" s="2" t="s">
        <v>13</v>
      </c>
      <c r="G201" s="2" t="s">
        <v>18</v>
      </c>
      <c r="H201" s="2" t="s">
        <v>15</v>
      </c>
      <c r="I201" s="2" t="s">
        <v>16</v>
      </c>
    </row>
  </sheetData>
  <autoFilter ref="A1:I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7" t="s">
        <v>255</v>
      </c>
    </row>
    <row r="2" customFormat="false" ht="15" hidden="false" customHeight="false" outlineLevel="0" collapsed="false">
      <c r="A2" s="8" t="s">
        <v>256</v>
      </c>
    </row>
    <row r="4" customFormat="false" ht="15" hidden="false" customHeight="false" outlineLevel="0" collapsed="false">
      <c r="A4" s="9" t="s">
        <v>1</v>
      </c>
      <c r="B4" s="9" t="s">
        <v>257</v>
      </c>
    </row>
    <row r="5" customFormat="false" ht="17.15" hidden="false" customHeight="false" outlineLevel="0" collapsed="false">
      <c r="A5" s="10" t="s">
        <v>258</v>
      </c>
      <c r="B5" s="11" t="n">
        <f aca="false">COUNTIF('Prompt Library'!B:B,"信用卡")</f>
        <v>140</v>
      </c>
    </row>
    <row r="6" customFormat="false" ht="17.15" hidden="false" customHeight="false" outlineLevel="0" collapsed="false">
      <c r="A6" s="10" t="s">
        <v>259</v>
      </c>
      <c r="B6" s="11" t="n">
        <f aca="false">COUNTIF('Prompt Library'!B:B,"個人金融")</f>
        <v>35</v>
      </c>
    </row>
    <row r="7" customFormat="false" ht="17.15" hidden="false" customHeight="false" outlineLevel="0" collapsed="false">
      <c r="A7" s="10" t="s">
        <v>260</v>
      </c>
      <c r="B7" s="11" t="n">
        <f aca="false">COUNTIF('Prompt Library'!B:B,"帳戶")</f>
        <v>15</v>
      </c>
    </row>
    <row r="8" customFormat="false" ht="17.15" hidden="false" customHeight="false" outlineLevel="0" collapsed="false">
      <c r="A8" s="10" t="s">
        <v>261</v>
      </c>
      <c r="B8" s="11" t="n">
        <f aca="false">COUNTIF('Prompt Library'!B:B,"貸款")</f>
        <v>10</v>
      </c>
    </row>
    <row r="9" customFormat="false" ht="15" hidden="false" customHeight="false" outlineLevel="0" collapsed="false">
      <c r="A9" s="9" t="s">
        <v>262</v>
      </c>
      <c r="B9" s="9" t="n">
        <f aca="false">COUNTA('Prompt Library'!D2:D100000)</f>
        <v>200</v>
      </c>
    </row>
    <row r="11" customFormat="false" ht="15" hidden="false" customHeight="false" outlineLevel="0" collapsed="false">
      <c r="A11" s="9" t="s">
        <v>4</v>
      </c>
      <c r="B11" s="9" t="s">
        <v>257</v>
      </c>
    </row>
    <row r="12" customFormat="false" ht="17.15" hidden="false" customHeight="false" outlineLevel="0" collapsed="false">
      <c r="A12" s="0" t="s">
        <v>263</v>
      </c>
      <c r="B12" s="0" t="n">
        <f aca="false">COUNTIF('Prompt Library'!E:E,"Yes")</f>
        <v>165</v>
      </c>
    </row>
    <row r="13" customFormat="false" ht="15" hidden="false" customHeight="false" outlineLevel="0" collapsed="false">
      <c r="A13" s="0" t="s">
        <v>264</v>
      </c>
      <c r="B13" s="0" t="n">
        <f aca="false">COUNTIF('Prompt Library'!E:E,"No")</f>
        <v>35</v>
      </c>
    </row>
    <row r="15" customFormat="false" ht="15" hidden="false" customHeight="false" outlineLevel="0" collapsed="false">
      <c r="A15" s="12" t="s">
        <v>265</v>
      </c>
      <c r="B15" s="12"/>
      <c r="C15" s="12"/>
    </row>
    <row r="16" customFormat="false" ht="15" hidden="false" customHeight="false" outlineLevel="0" collapsed="false">
      <c r="A16" s="13" t="s">
        <v>266</v>
      </c>
      <c r="B16" s="13"/>
      <c r="C16" s="13"/>
    </row>
    <row r="17" customFormat="false" ht="15" hidden="false" customHeight="false" outlineLevel="0" collapsed="false">
      <c r="A17" s="13" t="s">
        <v>267</v>
      </c>
      <c r="B17" s="13"/>
      <c r="C17" s="13"/>
    </row>
    <row r="18" customFormat="false" ht="15" hidden="false" customHeight="false" outlineLevel="0" collapsed="false">
      <c r="A18" s="13" t="s">
        <v>268</v>
      </c>
      <c r="B18" s="13"/>
      <c r="C18" s="13"/>
    </row>
    <row r="19" customFormat="false" ht="15" hidden="false" customHeight="false" outlineLevel="0" collapsed="false">
      <c r="A19" s="13" t="s">
        <v>269</v>
      </c>
      <c r="B19" s="13"/>
      <c r="C19" s="13"/>
    </row>
    <row r="20" customFormat="false" ht="15" hidden="false" customHeight="false" outlineLevel="0" collapsed="false">
      <c r="A20" s="13" t="s">
        <v>270</v>
      </c>
      <c r="B20" s="13"/>
      <c r="C20" s="13"/>
    </row>
    <row r="21" customFormat="false" ht="15" hidden="false" customHeight="false" outlineLevel="0" collapsed="false">
      <c r="A21" s="13" t="s">
        <v>271</v>
      </c>
      <c r="B21" s="13"/>
      <c r="C21" s="13"/>
    </row>
    <row r="22" customFormat="false" ht="15" hidden="false" customHeight="false" outlineLevel="0" collapsed="false">
      <c r="A22" s="13" t="s">
        <v>272</v>
      </c>
      <c r="B22" s="13"/>
      <c r="C22" s="13"/>
    </row>
  </sheetData>
  <mergeCells count="8"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4" t="s">
        <v>273</v>
      </c>
      <c r="B1" s="14"/>
      <c r="C1" s="14"/>
      <c r="D1" s="14"/>
      <c r="E1" s="14"/>
    </row>
    <row r="2" customFormat="false" ht="55.5" hidden="false" customHeight="true" outlineLevel="0" collapsed="false">
      <c r="A2" s="15" t="s">
        <v>274</v>
      </c>
      <c r="B2" s="15"/>
      <c r="C2" s="15"/>
      <c r="D2" s="15"/>
      <c r="E2" s="15"/>
    </row>
    <row r="4" customFormat="false" ht="30" hidden="false" customHeight="true" outlineLevel="0" collapsed="false">
      <c r="A4" s="16" t="s">
        <v>6</v>
      </c>
      <c r="B4" s="16" t="s">
        <v>275</v>
      </c>
      <c r="C4" s="16" t="s">
        <v>276</v>
      </c>
      <c r="D4" s="16" t="s">
        <v>277</v>
      </c>
      <c r="E4" s="16" t="s">
        <v>278</v>
      </c>
    </row>
    <row r="5" customFormat="false" ht="73.5" hidden="false" customHeight="true" outlineLevel="0" collapsed="false">
      <c r="A5" s="17" t="s">
        <v>14</v>
      </c>
      <c r="B5" s="17" t="s">
        <v>279</v>
      </c>
      <c r="C5" s="17" t="s">
        <v>280</v>
      </c>
      <c r="D5" s="17" t="s">
        <v>281</v>
      </c>
      <c r="E5" s="17" t="s">
        <v>282</v>
      </c>
    </row>
    <row r="6" customFormat="false" ht="73.5" hidden="false" customHeight="true" outlineLevel="0" collapsed="false">
      <c r="A6" s="17" t="s">
        <v>61</v>
      </c>
      <c r="B6" s="17" t="s">
        <v>283</v>
      </c>
      <c r="C6" s="17" t="s">
        <v>284</v>
      </c>
      <c r="D6" s="17" t="s">
        <v>285</v>
      </c>
      <c r="E6" s="17" t="s">
        <v>286</v>
      </c>
    </row>
    <row r="7" customFormat="false" ht="73.5" hidden="false" customHeight="true" outlineLevel="0" collapsed="false">
      <c r="A7" s="17" t="s">
        <v>18</v>
      </c>
      <c r="B7" s="17" t="s">
        <v>287</v>
      </c>
      <c r="C7" s="17" t="s">
        <v>288</v>
      </c>
      <c r="D7" s="17" t="s">
        <v>289</v>
      </c>
      <c r="E7" s="17" t="s">
        <v>290</v>
      </c>
    </row>
    <row r="9" customFormat="false" ht="15" hidden="false" customHeight="false" outlineLevel="0" collapsed="false">
      <c r="A9" s="9" t="s">
        <v>291</v>
      </c>
    </row>
    <row r="10" customFormat="false" ht="15" hidden="false" customHeight="false" outlineLevel="0" collapsed="false">
      <c r="A10" s="18" t="s">
        <v>14</v>
      </c>
      <c r="B10" s="11" t="n">
        <f aca="false">COUNTIF('Prompt Library'!G:G,"Representation")</f>
        <v>83</v>
      </c>
    </row>
    <row r="11" customFormat="false" ht="15" hidden="false" customHeight="false" outlineLevel="0" collapsed="false">
      <c r="A11" s="18" t="s">
        <v>61</v>
      </c>
      <c r="B11" s="11" t="n">
        <f aca="false">COUNTIF('Prompt Library'!G:G,"Competitive")</f>
        <v>32</v>
      </c>
    </row>
    <row r="12" customFormat="false" ht="15" hidden="false" customHeight="false" outlineLevel="0" collapsed="false">
      <c r="A12" s="18" t="s">
        <v>18</v>
      </c>
      <c r="B12" s="11" t="n">
        <f aca="false">COUNTIF('Prompt Library'!G:G,"Content")</f>
        <v>85</v>
      </c>
    </row>
    <row r="14" customFormat="false" ht="15" hidden="false" customHeight="false" outlineLevel="0" collapsed="false">
      <c r="A14" s="9" t="s">
        <v>292</v>
      </c>
    </row>
    <row r="15" customFormat="false" ht="15" hidden="false" customHeight="false" outlineLevel="0" collapsed="false">
      <c r="A15" s="18" t="s">
        <v>15</v>
      </c>
      <c r="B15" s="11" t="n">
        <f aca="false">COUNTIF('Prompt Library'!H:H,"Acquisition")</f>
        <v>155</v>
      </c>
    </row>
    <row r="16" customFormat="false" ht="15" hidden="false" customHeight="false" outlineLevel="0" collapsed="false">
      <c r="A16" s="18" t="s">
        <v>136</v>
      </c>
      <c r="B16" s="11" t="n">
        <f aca="false">COUNTIF('Prompt Library'!H:H,"Servicing")</f>
        <v>45</v>
      </c>
    </row>
    <row r="18" customFormat="false" ht="15" hidden="false" customHeight="false" outlineLevel="0" collapsed="false">
      <c r="A18" s="9" t="s">
        <v>293</v>
      </c>
    </row>
    <row r="19" customFormat="false" ht="15" hidden="false" customHeight="false" outlineLevel="0" collapsed="false">
      <c r="A19" s="18" t="s">
        <v>16</v>
      </c>
      <c r="B19" s="11" t="n">
        <f aca="false">COUNTIF('Prompt Library'!I:I,"General")</f>
        <v>180</v>
      </c>
    </row>
    <row r="20" customFormat="false" ht="15" hidden="false" customHeight="false" outlineLevel="0" collapsed="false">
      <c r="A20" s="18" t="s">
        <v>23</v>
      </c>
      <c r="B20" s="11" t="n">
        <f aca="false">COUNTIF('Prompt Library'!I:I,"First-timer")</f>
        <v>7</v>
      </c>
    </row>
    <row r="21" customFormat="false" ht="15" hidden="false" customHeight="false" outlineLevel="0" collapsed="false">
      <c r="A21" s="18" t="s">
        <v>126</v>
      </c>
      <c r="B21" s="11" t="n">
        <f aca="false">COUNTIF('Prompt Library'!I:I,"Budget")</f>
        <v>3</v>
      </c>
    </row>
    <row r="22" customFormat="false" ht="15" hidden="false" customHeight="false" outlineLevel="0" collapsed="false">
      <c r="A22" s="18" t="s">
        <v>120</v>
      </c>
      <c r="B22" s="11" t="n">
        <f aca="false">COUNTIF('Prompt Library'!I:I,"Affluent")</f>
        <v>2</v>
      </c>
    </row>
    <row r="23" customFormat="false" ht="15" hidden="false" customHeight="false" outlineLevel="0" collapsed="false">
      <c r="A23" s="18" t="s">
        <v>107</v>
      </c>
      <c r="B23" s="11" t="n">
        <f aca="false">COUNTIF('Prompt Library'!I:I,"Student")</f>
        <v>2</v>
      </c>
    </row>
    <row r="24" customFormat="false" ht="15" hidden="false" customHeight="false" outlineLevel="0" collapsed="false">
      <c r="A24" s="18" t="s">
        <v>49</v>
      </c>
      <c r="B24" s="11" t="n">
        <f aca="false">COUNTIF('Prompt Library'!I:I,"Traveler")</f>
        <v>2</v>
      </c>
    </row>
    <row r="25" customFormat="false" ht="15" hidden="false" customHeight="false" outlineLevel="0" collapsed="false">
      <c r="A25" s="18" t="s">
        <v>83</v>
      </c>
      <c r="B25" s="11" t="n">
        <f aca="false">COUNTIF('Prompt Library'!I:I,"Family")</f>
        <v>2</v>
      </c>
    </row>
    <row r="26" customFormat="false" ht="15" hidden="false" customHeight="false" outlineLevel="0" collapsed="false">
      <c r="A26" s="18" t="s">
        <v>131</v>
      </c>
      <c r="B26" s="11" t="n">
        <f aca="false">COUNTIF('Prompt Library'!I:I,"Business")</f>
        <v>1</v>
      </c>
    </row>
    <row r="27" customFormat="false" ht="15" hidden="false" customHeight="false" outlineLevel="0" collapsed="false">
      <c r="A27" s="18" t="s">
        <v>112</v>
      </c>
      <c r="B27" s="11" t="n">
        <f aca="false">COUNTIF('Prompt Library'!I:I,"New-grad")</f>
        <v>1</v>
      </c>
    </row>
    <row r="29" customFormat="false" ht="15" hidden="false" customHeight="false" outlineLevel="0" collapsed="false">
      <c r="A29" s="19" t="s">
        <v>294</v>
      </c>
      <c r="B29" s="19"/>
      <c r="C29" s="19"/>
      <c r="D29" s="19"/>
      <c r="E29" s="19"/>
    </row>
    <row r="30" customFormat="false" ht="23.85" hidden="false" customHeight="false" outlineLevel="0" collapsed="false">
      <c r="A30" s="20" t="s">
        <v>295</v>
      </c>
      <c r="B30" s="20" t="s">
        <v>296</v>
      </c>
      <c r="C30" s="20" t="s">
        <v>297</v>
      </c>
      <c r="D30" s="20" t="s">
        <v>298</v>
      </c>
      <c r="E30" s="20"/>
    </row>
    <row r="31" customFormat="false" ht="43.5" hidden="false" customHeight="true" outlineLevel="0" collapsed="false">
      <c r="A31" s="21" t="s">
        <v>299</v>
      </c>
      <c r="B31" s="21" t="s">
        <v>63</v>
      </c>
      <c r="C31" s="17" t="s">
        <v>61</v>
      </c>
      <c r="D31" s="22" t="s">
        <v>300</v>
      </c>
      <c r="E31" s="22"/>
    </row>
    <row r="32" customFormat="false" ht="43.5" hidden="false" customHeight="true" outlineLevel="0" collapsed="false">
      <c r="A32" s="21" t="s">
        <v>301</v>
      </c>
      <c r="B32" s="21" t="s">
        <v>189</v>
      </c>
      <c r="C32" s="17" t="s">
        <v>61</v>
      </c>
      <c r="D32" s="22" t="s">
        <v>300</v>
      </c>
      <c r="E32" s="22"/>
    </row>
    <row r="33" customFormat="false" ht="43.5" hidden="false" customHeight="true" outlineLevel="0" collapsed="false">
      <c r="A33" s="21" t="s">
        <v>302</v>
      </c>
      <c r="B33" s="21" t="s">
        <v>195</v>
      </c>
      <c r="C33" s="17" t="s">
        <v>14</v>
      </c>
      <c r="D33" s="22" t="s">
        <v>303</v>
      </c>
      <c r="E33" s="22"/>
    </row>
    <row r="34" customFormat="false" ht="43.5" hidden="false" customHeight="true" outlineLevel="0" collapsed="false">
      <c r="A34" s="21" t="s">
        <v>304</v>
      </c>
      <c r="B34" s="21" t="s">
        <v>197</v>
      </c>
      <c r="C34" s="17" t="s">
        <v>14</v>
      </c>
      <c r="D34" s="22" t="s">
        <v>303</v>
      </c>
      <c r="E34" s="22"/>
    </row>
    <row r="35" customFormat="false" ht="43.5" hidden="false" customHeight="true" outlineLevel="0" collapsed="false">
      <c r="A35" s="21" t="s">
        <v>305</v>
      </c>
      <c r="B35" s="21" t="s">
        <v>198</v>
      </c>
      <c r="C35" s="17" t="s">
        <v>61</v>
      </c>
      <c r="D35" s="22" t="s">
        <v>300</v>
      </c>
      <c r="E35" s="22"/>
    </row>
    <row r="36" customFormat="false" ht="43.5" hidden="false" customHeight="true" outlineLevel="0" collapsed="false">
      <c r="A36" s="21" t="s">
        <v>306</v>
      </c>
      <c r="B36" s="21" t="s">
        <v>204</v>
      </c>
      <c r="C36" s="17" t="s">
        <v>14</v>
      </c>
      <c r="D36" s="22" t="s">
        <v>303</v>
      </c>
      <c r="E36" s="22"/>
    </row>
    <row r="37" customFormat="false" ht="43.5" hidden="false" customHeight="true" outlineLevel="0" collapsed="false">
      <c r="A37" s="21" t="s">
        <v>307</v>
      </c>
      <c r="B37" s="21" t="s">
        <v>209</v>
      </c>
      <c r="C37" s="17" t="s">
        <v>14</v>
      </c>
      <c r="D37" s="22" t="s">
        <v>303</v>
      </c>
      <c r="E37" s="22"/>
    </row>
    <row r="38" customFormat="false" ht="43.5" hidden="false" customHeight="true" outlineLevel="0" collapsed="false">
      <c r="A38" s="21" t="s">
        <v>308</v>
      </c>
      <c r="B38" s="21" t="s">
        <v>218</v>
      </c>
      <c r="C38" s="17" t="s">
        <v>14</v>
      </c>
      <c r="D38" s="22" t="s">
        <v>303</v>
      </c>
      <c r="E38" s="22"/>
    </row>
    <row r="39" customFormat="false" ht="43.5" hidden="false" customHeight="true" outlineLevel="0" collapsed="false">
      <c r="A39" s="21" t="s">
        <v>309</v>
      </c>
      <c r="B39" s="21" t="s">
        <v>219</v>
      </c>
      <c r="C39" s="17" t="s">
        <v>14</v>
      </c>
      <c r="D39" s="22" t="s">
        <v>303</v>
      </c>
      <c r="E39" s="22"/>
    </row>
    <row r="40" customFormat="false" ht="43.5" hidden="false" customHeight="true" outlineLevel="0" collapsed="false">
      <c r="A40" s="21" t="s">
        <v>310</v>
      </c>
      <c r="B40" s="21" t="s">
        <v>221</v>
      </c>
      <c r="C40" s="17" t="s">
        <v>61</v>
      </c>
      <c r="D40" s="22" t="s">
        <v>300</v>
      </c>
      <c r="E40" s="22"/>
    </row>
    <row r="41" customFormat="false" ht="43.5" hidden="false" customHeight="true" outlineLevel="0" collapsed="false">
      <c r="A41" s="21" t="s">
        <v>311</v>
      </c>
      <c r="B41" s="21" t="s">
        <v>228</v>
      </c>
      <c r="C41" s="17" t="s">
        <v>61</v>
      </c>
      <c r="D41" s="22" t="s">
        <v>300</v>
      </c>
      <c r="E41" s="22"/>
    </row>
    <row r="43" customFormat="false" ht="15" hidden="false" customHeight="false" outlineLevel="0" collapsed="false">
      <c r="A43" s="19" t="s">
        <v>312</v>
      </c>
      <c r="B43" s="19"/>
      <c r="C43" s="19"/>
      <c r="D43" s="19"/>
      <c r="E43" s="19"/>
    </row>
    <row r="44" customFormat="false" ht="30" hidden="false" customHeight="true" outlineLevel="0" collapsed="false">
      <c r="A44" s="13" t="s">
        <v>313</v>
      </c>
      <c r="B44" s="13"/>
      <c r="C44" s="13"/>
      <c r="D44" s="13"/>
      <c r="E44" s="13"/>
    </row>
    <row r="46" customFormat="false" ht="15" hidden="false" customHeight="false" outlineLevel="0" collapsed="false">
      <c r="A46" s="19" t="s">
        <v>314</v>
      </c>
      <c r="B46" s="19"/>
      <c r="C46" s="19"/>
      <c r="D46" s="19"/>
      <c r="E46" s="19"/>
    </row>
    <row r="47" customFormat="false" ht="15" hidden="false" customHeight="false" outlineLevel="0" collapsed="false">
      <c r="A47" s="23" t="s">
        <v>3</v>
      </c>
      <c r="B47" s="12" t="s">
        <v>315</v>
      </c>
      <c r="C47" s="12"/>
      <c r="D47" s="12"/>
      <c r="E47" s="12"/>
    </row>
    <row r="48" customFormat="false" ht="30" hidden="false" customHeight="true" outlineLevel="0" collapsed="false">
      <c r="A48" s="21" t="s">
        <v>105</v>
      </c>
      <c r="B48" s="22" t="s">
        <v>316</v>
      </c>
      <c r="C48" s="22"/>
      <c r="D48" s="22"/>
      <c r="E48" s="22"/>
    </row>
    <row r="49" customFormat="false" ht="30" hidden="false" customHeight="true" outlineLevel="0" collapsed="false">
      <c r="A49" s="21" t="s">
        <v>106</v>
      </c>
      <c r="B49" s="22" t="s">
        <v>317</v>
      </c>
      <c r="C49" s="22"/>
      <c r="D49" s="22"/>
      <c r="E49" s="22"/>
    </row>
    <row r="50" customFormat="false" ht="30" hidden="false" customHeight="true" outlineLevel="0" collapsed="false">
      <c r="A50" s="21" t="s">
        <v>111</v>
      </c>
      <c r="B50" s="22" t="s">
        <v>318</v>
      </c>
      <c r="C50" s="22"/>
      <c r="D50" s="22"/>
      <c r="E50" s="22"/>
    </row>
    <row r="51" customFormat="false" ht="30" hidden="false" customHeight="true" outlineLevel="0" collapsed="false">
      <c r="A51" s="21" t="s">
        <v>162</v>
      </c>
      <c r="B51" s="22" t="s">
        <v>319</v>
      </c>
      <c r="C51" s="22"/>
      <c r="D51" s="22"/>
      <c r="E51" s="22"/>
    </row>
    <row r="52" customFormat="false" ht="30" hidden="false" customHeight="true" outlineLevel="0" collapsed="false">
      <c r="A52" s="21" t="s">
        <v>74</v>
      </c>
      <c r="B52" s="22" t="s">
        <v>320</v>
      </c>
      <c r="C52" s="22"/>
      <c r="D52" s="22"/>
      <c r="E52" s="22"/>
    </row>
    <row r="53" customFormat="false" ht="30" hidden="false" customHeight="true" outlineLevel="0" collapsed="false">
      <c r="A53" s="21" t="s">
        <v>79</v>
      </c>
      <c r="B53" s="22" t="s">
        <v>321</v>
      </c>
      <c r="C53" s="22"/>
      <c r="D53" s="22"/>
      <c r="E53" s="22"/>
    </row>
  </sheetData>
  <mergeCells count="24">
    <mergeCell ref="A1:E1"/>
    <mergeCell ref="A2:E2"/>
    <mergeCell ref="A29:E29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A43:E43"/>
    <mergeCell ref="A44:E44"/>
    <mergeCell ref="A46:E46"/>
    <mergeCell ref="B47:E47"/>
    <mergeCell ref="B48:E48"/>
    <mergeCell ref="B49:E49"/>
    <mergeCell ref="B50:E50"/>
    <mergeCell ref="B51:E51"/>
    <mergeCell ref="B52:E52"/>
    <mergeCell ref="B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2026-06-02T09:46:01Z</dcterms:created>
  <dc:creator>openpyxl</dc:creator>
  <dc:description/>
  <dc:language>en-US</dc:language>
  <cp:lastModifiedBy/>
  <dcterms:modified xsi:type="dcterms:W3CDTF">2026-06-02T09:46:01Z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